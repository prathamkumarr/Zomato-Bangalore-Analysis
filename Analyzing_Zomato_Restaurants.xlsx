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queryTables/queryTable4.xml" ContentType="application/vnd.openxmlformats-officedocument.spreadsheetml.queryTable+xml"/>
  <Override PartName="/xl/queryTables/queryTable5.xml" ContentType="application/vnd.openxmlformats-officedocument.spreadsheetml.queryTable+xml"/>
  <Override PartName="/xl/queryTables/queryTable6.xml" ContentType="application/vnd.openxmlformats-officedocument.spreadsheetml.query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queryTables/queryTable7.xml" ContentType="application/vnd.openxmlformats-officedocument.spreadsheetml.queryTable+xml"/>
  <Override PartName="/xl/queryTables/queryTable8.xml" ContentType="application/vnd.openxmlformats-officedocument.spreadsheetml.queryTable+xml"/>
  <Override PartName="/xl/queryTables/queryTable9.xml" ContentType="application/vnd.openxmlformats-officedocument.spreadsheetml.queryTable+xml"/>
  <Override PartName="/xl/queryTables/queryTable10.xml" ContentType="application/vnd.openxmlformats-officedocument.spreadsheetml.query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queryTables/queryTable11.xml" ContentType="application/vnd.openxmlformats-officedocument.spreadsheetml.queryTable+xml"/>
  <Override PartName="/xl/queryTables/queryTable12.xml" ContentType="application/vnd.openxmlformats-officedocument.spreadsheetml.queryTable+xml"/>
  <Override PartName="/xl/queryTables/queryTable13.xml" ContentType="application/vnd.openxmlformats-officedocument.spreadsheetml.queryTable+xml"/>
  <Override PartName="/xl/drawings/drawing5.xml" ContentType="application/vnd.openxmlformats-officedocument.drawing+xml"/>
  <Override PartName="/xl/queryTables/queryTable14.xml" ContentType="application/vnd.openxmlformats-officedocument.spreadsheetml.queryTable+xml"/>
  <Override PartName="/xl/queryTables/queryTable15.xml" ContentType="application/vnd.openxmlformats-officedocument.spreadsheetml.queryTable+xml"/>
  <Override PartName="/xl/queryTables/queryTable16.xml" ContentType="application/vnd.openxmlformats-officedocument.spreadsheetml.queryTable+xml"/>
  <Override PartName="/xl/queryTables/queryTable17.xml" ContentType="application/vnd.openxmlformats-officedocument.spreadsheetml.query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rathamkumar/Desktop/Analyzing_Zomato_Restraunts/"/>
    </mc:Choice>
  </mc:AlternateContent>
  <xr:revisionPtr revIDLastSave="0" documentId="8_{DB08241F-A6A4-884F-8025-CD3EF40AF4EF}" xr6:coauthVersionLast="47" xr6:coauthVersionMax="47" xr10:uidLastSave="{00000000-0000-0000-0000-000000000000}"/>
  <bookViews>
    <workbookView xWindow="0" yWindow="580" windowWidth="25600" windowHeight="16060" xr2:uid="{4908AB74-EA9C-7442-9118-FD1AA39EB5F3}"/>
  </bookViews>
  <sheets>
    <sheet name="KPI_Summary" sheetId="1" r:id="rId1"/>
    <sheet name="Rating_Analysis" sheetId="2" r:id="rId2"/>
    <sheet name="Location_Analysis" sheetId="3" r:id="rId3"/>
    <sheet name="Cuisine_Analysis" sheetId="4" r:id="rId4"/>
    <sheet name="Pricing_Value" sheetId="5" r:id="rId5"/>
    <sheet name="Service_Adoption" sheetId="6" r:id="rId6"/>
  </sheets>
  <definedNames>
    <definedName name="_xlnm._FilterDatabase" localSheetId="3" hidden="1">Cuisine_Analysis!$P$25:$Q$33</definedName>
    <definedName name="_xlnm._FilterDatabase" localSheetId="2" hidden="1">Location_Analysis!$K$3:$S$18</definedName>
    <definedName name="_xlnm._FilterDatabase" localSheetId="1" hidden="1">Rating_Analysis!$A$3:$K$13</definedName>
    <definedName name="q1_credible_restaurants" localSheetId="1">Rating_Analysis!$A$3:$K$13</definedName>
    <definedName name="q10a_hidden_gems" localSheetId="4">Pricing_Value!$T$3:$AG$18</definedName>
    <definedName name="q10b_gem_rarity" localSheetId="4">Pricing_Value!$AJ$3:$AQ$4</definedName>
    <definedName name="q11a_online_vs_dinein" localSheetId="5">Service_Adoption!$A$5:$O$7</definedName>
    <definedName name="q11b_tier_composition" localSheetId="5">Service_Adoption!$R$5:$X$11</definedName>
    <definedName name="q12a_service_segments" localSheetId="5">Service_Adoption!$AB$5:$AP$10</definedName>
    <definedName name="q12b_service_by_tier" localSheetId="5">Service_Adoption!$AS$5:$AY$8</definedName>
    <definedName name="q2_rating_tier_crosstab" localSheetId="1">Rating_Analysis!$N$3:$AA$6</definedName>
    <definedName name="q3_vote_buckets" localSheetId="1">Rating_Analysis!$AH$3:$AP$9</definedName>
    <definedName name="q4_location_leaderboard" localSheetId="2">Location_Analysis!$A$3:$H$18</definedName>
    <definedName name="q5_value_locations" localSheetId="2">Location_Analysis!$K$3:$S$18</definedName>
    <definedName name="q6_digital_adoption" localSheetId="2">Location_Analysis!$V$3:$AE$18</definedName>
    <definedName name="q7a_dominant_cuisine_per_location" localSheetId="3">Cuisine_Analysis!$A$5:$F$25</definedName>
    <definedName name="q7b_cuisine_dominance_summary" localSheetId="3">Cuisine_Analysis!$I$5:$M$15</definedName>
    <definedName name="q8a_cuisine_popularity" localSheetId="3">Cuisine_Analysis!$P$5:$AC$20</definedName>
    <definedName name="q8b_cuisine_quality" localSheetId="3">Cuisine_Analysis!$AI$5:$AT$20</definedName>
    <definedName name="q9_price_tier_performance" localSheetId="4">Pricing_Value!$A$3:$Q$6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Y8" i="6" l="1"/>
  <c r="Y7" i="6"/>
  <c r="Y6" i="6"/>
  <c r="AJ21" i="5"/>
  <c r="AJ22" i="5" s="1"/>
  <c r="AV7" i="4"/>
  <c r="AV8" i="4"/>
  <c r="AV9" i="4"/>
  <c r="AV10" i="4"/>
  <c r="AV11" i="4"/>
  <c r="AV12" i="4"/>
  <c r="AV13" i="4"/>
  <c r="AV14" i="4"/>
  <c r="AV15" i="4"/>
  <c r="AV16" i="4"/>
  <c r="AV17" i="4"/>
  <c r="AV18" i="4"/>
  <c r="AV19" i="4"/>
  <c r="AV20" i="4"/>
  <c r="AV6" i="4"/>
  <c r="AU7" i="4"/>
  <c r="AU8" i="4"/>
  <c r="AU9" i="4"/>
  <c r="AU10" i="4"/>
  <c r="AU11" i="4"/>
  <c r="AU12" i="4"/>
  <c r="AU13" i="4"/>
  <c r="AU14" i="4"/>
  <c r="AU15" i="4"/>
  <c r="AU16" i="4"/>
  <c r="AU17" i="4"/>
  <c r="AU18" i="4"/>
  <c r="AU19" i="4"/>
  <c r="AU20" i="4"/>
  <c r="AU6" i="4"/>
  <c r="AF7" i="4"/>
  <c r="AF8" i="4"/>
  <c r="AF9" i="4"/>
  <c r="AF10" i="4"/>
  <c r="AF11" i="4"/>
  <c r="AF12" i="4"/>
  <c r="AF13" i="4"/>
  <c r="AF14" i="4"/>
  <c r="AF15" i="4"/>
  <c r="AF16" i="4"/>
  <c r="AF17" i="4"/>
  <c r="AF18" i="4"/>
  <c r="AF19" i="4"/>
  <c r="AF20" i="4"/>
  <c r="AF6" i="4"/>
  <c r="AE7" i="4"/>
  <c r="AE13" i="4"/>
  <c r="AE14" i="4"/>
  <c r="AE15" i="4"/>
  <c r="AE16" i="4"/>
  <c r="AE18" i="4"/>
  <c r="AE6" i="4"/>
  <c r="AD7" i="4"/>
  <c r="AD8" i="4"/>
  <c r="AE8" i="4" s="1"/>
  <c r="AD9" i="4"/>
  <c r="AE9" i="4" s="1"/>
  <c r="AD10" i="4"/>
  <c r="AE10" i="4" s="1"/>
  <c r="AD11" i="4"/>
  <c r="AE11" i="4" s="1"/>
  <c r="AD12" i="4"/>
  <c r="AE12" i="4" s="1"/>
  <c r="AD13" i="4"/>
  <c r="AD14" i="4"/>
  <c r="AD15" i="4"/>
  <c r="AD16" i="4"/>
  <c r="AD17" i="4"/>
  <c r="AE17" i="4" s="1"/>
  <c r="AD18" i="4"/>
  <c r="AD19" i="4"/>
  <c r="AE19" i="4" s="1"/>
  <c r="AD20" i="4"/>
  <c r="AE20" i="4" s="1"/>
  <c r="AD6" i="4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25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25" i="3"/>
  <c r="C55" i="3"/>
  <c r="C56" i="3"/>
  <c r="C57" i="3"/>
  <c r="C58" i="3"/>
  <c r="C59" i="3"/>
  <c r="C50" i="3"/>
  <c r="C51" i="3"/>
  <c r="C52" i="3"/>
  <c r="C53" i="3"/>
  <c r="C54" i="3"/>
  <c r="C41" i="3"/>
  <c r="C42" i="3"/>
  <c r="C43" i="3"/>
  <c r="C44" i="3"/>
  <c r="C45" i="3"/>
  <c r="C46" i="3"/>
  <c r="C47" i="3"/>
  <c r="C48" i="3"/>
  <c r="C49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25" i="3"/>
  <c r="AE5" i="2"/>
  <c r="AE6" i="2"/>
  <c r="AE4" i="2"/>
  <c r="AC6" i="2"/>
  <c r="AC5" i="2"/>
  <c r="AB6" i="2"/>
  <c r="AB5" i="2"/>
  <c r="AD5" i="2"/>
  <c r="AD6" i="2"/>
  <c r="AD4" i="2"/>
  <c r="AJ23" i="5" l="1"/>
  <c r="E58" i="3"/>
  <c r="F58" i="3" s="1"/>
  <c r="E50" i="3"/>
  <c r="F50" i="3" s="1"/>
  <c r="E57" i="3"/>
  <c r="F57" i="3" s="1"/>
  <c r="E49" i="3"/>
  <c r="F49" i="3" s="1"/>
  <c r="E39" i="3"/>
  <c r="F39" i="3" s="1"/>
  <c r="E31" i="3"/>
  <c r="F31" i="3" s="1"/>
  <c r="E40" i="3"/>
  <c r="F40" i="3" s="1"/>
  <c r="E38" i="3"/>
  <c r="F38" i="3" s="1"/>
  <c r="E30" i="3"/>
  <c r="F30" i="3" s="1"/>
  <c r="E56" i="3"/>
  <c r="F56" i="3" s="1"/>
  <c r="E48" i="3"/>
  <c r="F48" i="3" s="1"/>
  <c r="E37" i="3"/>
  <c r="F37" i="3" s="1"/>
  <c r="E29" i="3"/>
  <c r="F29" i="3" s="1"/>
  <c r="E55" i="3"/>
  <c r="F55" i="3" s="1"/>
  <c r="E47" i="3"/>
  <c r="F47" i="3" s="1"/>
  <c r="E36" i="3"/>
  <c r="F36" i="3" s="1"/>
  <c r="E28" i="3"/>
  <c r="F28" i="3" s="1"/>
  <c r="E54" i="3"/>
  <c r="F54" i="3" s="1"/>
  <c r="E46" i="3"/>
  <c r="F46" i="3" s="1"/>
  <c r="E25" i="3"/>
  <c r="F25" i="3" s="1"/>
  <c r="E35" i="3"/>
  <c r="F35" i="3" s="1"/>
  <c r="E27" i="3"/>
  <c r="F27" i="3" s="1"/>
  <c r="E53" i="3"/>
  <c r="F53" i="3" s="1"/>
  <c r="E45" i="3"/>
  <c r="F45" i="3" s="1"/>
  <c r="E42" i="3"/>
  <c r="F42" i="3" s="1"/>
  <c r="E34" i="3"/>
  <c r="F34" i="3" s="1"/>
  <c r="E26" i="3"/>
  <c r="F26" i="3" s="1"/>
  <c r="E52" i="3"/>
  <c r="F52" i="3" s="1"/>
  <c r="E44" i="3"/>
  <c r="F44" i="3" s="1"/>
  <c r="E32" i="3"/>
  <c r="F32" i="3" s="1"/>
  <c r="E41" i="3"/>
  <c r="F41" i="3" s="1"/>
  <c r="E33" i="3"/>
  <c r="F33" i="3" s="1"/>
  <c r="E59" i="3"/>
  <c r="F59" i="3" s="1"/>
  <c r="E51" i="3"/>
  <c r="F51" i="3" s="1"/>
  <c r="E43" i="3"/>
  <c r="F43" i="3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044E988-DBA8-0643-9CDE-D2053F8AE3F4}" name="q1_credible_restaurants" type="6" refreshedVersion="8" background="1" saveData="1">
    <textPr codePage="10000" sourceFile="/Users/prathamkumar/Desktop/Analyzing_Zomato_Restraunts/q1_credible_restaurants.csv" tab="0" comma="1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9836CC97-F717-F145-8D1A-1807EDDBB576}" name="q10a_hidden_gems" type="6" refreshedVersion="8" background="1" saveData="1">
    <textPr codePage="10000" sourceFile="/Users/prathamkumar/Desktop/Analyzing_Zomato_Restraunts/q10a_hidden_gems.csv" tab="0" comma="1">
      <textFields count="1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79D746C9-F00F-AF44-8C5D-8E44CAB48C47}" name="q10b_gem_rarity" type="6" refreshedVersion="8" background="1" saveData="1">
    <textPr codePage="10000" sourceFile="/Users/prathamkumar/Desktop/Analyzing_Zomato_Restraunts/q10b_gem_rarity.csv" tab="0" comma="1">
      <textFields count="8">
        <textField/>
        <textField/>
        <textField/>
        <textField/>
        <textField/>
        <textField/>
        <textField/>
        <textField/>
      </textFields>
    </textPr>
  </connection>
  <connection id="4" xr16:uid="{1D2FB971-CE0C-F048-A695-2626EE8D247B}" name="q11a_online_vs_dinein" type="6" refreshedVersion="8" background="1" saveData="1">
    <textPr codePage="10000" sourceFile="/Users/prathamkumar/Desktop/Analyzing_Zomato_Restraunts/q11a_online_vs_dinein.csv" tab="0" comma="1">
      <textFields count="1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5" xr16:uid="{10C55972-F0D1-8744-91F0-4A99800E2A63}" name="q11b_tier_composition" type="6" refreshedVersion="8" background="1" saveData="1">
    <textPr codePage="10000" sourceFile="/Users/prathamkumar/Desktop/Analyzing_Zomato_Restraunts/q11b_tier_composition.csv" tab="0" comma="1">
      <textFields count="7">
        <textField/>
        <textField/>
        <textField/>
        <textField/>
        <textField/>
        <textField/>
        <textField/>
      </textFields>
    </textPr>
  </connection>
  <connection id="6" xr16:uid="{EDA69A54-B8F8-2543-A681-DAA0BC3E3DAF}" name="q12a_service_segments" type="6" refreshedVersion="8" background="1" saveData="1">
    <textPr codePage="10000" sourceFile="/Users/prathamkumar/Desktop/Analyzing_Zomato_Restraunts/q12a_service_segments.csv" tab="0" comma="1">
      <textFields count="1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7" xr16:uid="{8D26E9A2-F453-8E45-8933-1D413D821CDB}" name="q12b_service_by_tier" type="6" refreshedVersion="8" background="1" saveData="1">
    <textPr codePage="10000" sourceFile="/Users/prathamkumar/Desktop/Analyzing_Zomato_Restraunts/q12b_service_by_tier.csv" tab="0" comma="1">
      <textFields count="7">
        <textField/>
        <textField/>
        <textField/>
        <textField/>
        <textField/>
        <textField/>
        <textField/>
      </textFields>
    </textPr>
  </connection>
  <connection id="8" xr16:uid="{08DE1699-D31F-A046-A17D-F93354540F2C}" name="q2_rating_tier_crosstab" type="6" refreshedVersion="8" background="1" saveData="1">
    <textPr codePage="10000" sourceFile="/Users/prathamkumar/Desktop/Analyzing_Zomato_Restraunts/q2_rating_tier_crosstab.csv" tab="0" comma="1">
      <textFields count="1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9" xr16:uid="{747A9B98-91C8-354A-93B9-A0AA108EF4BA}" name="q3_vote_buckets" type="6" refreshedVersion="8" background="1" saveData="1">
    <textPr codePage="10000" sourceFile="/Users/prathamkumar/Desktop/Analyzing_Zomato_Restraunts/q3_vote_buckets.csv" tab="0" comma="1">
      <textFields count="9">
        <textField/>
        <textField/>
        <textField/>
        <textField/>
        <textField/>
        <textField/>
        <textField/>
        <textField/>
        <textField/>
      </textFields>
    </textPr>
  </connection>
  <connection id="10" xr16:uid="{F5CD32D0-96B1-4344-8595-AFCB24595CB6}" name="q4_location_leaderboard" type="6" refreshedVersion="8" background="1" saveData="1">
    <textPr codePage="10000" sourceFile="/Users/prathamkumar/Desktop/Analyzing_Zomato_Restraunts/q4_location_leaderboard.csv" tab="0" comma="1">
      <textFields count="8">
        <textField/>
        <textField/>
        <textField/>
        <textField/>
        <textField/>
        <textField/>
        <textField/>
        <textField/>
      </textFields>
    </textPr>
  </connection>
  <connection id="11" xr16:uid="{74E1F59F-8160-1D42-92B8-2F314BFAC345}" name="q5_value_locations" type="6" refreshedVersion="8" background="1" saveData="1">
    <textPr codePage="10000" sourceFile="/Users/prathamkumar/Desktop/Analyzing_Zomato_Restraunts/q5_value_locations.csv" tab="0" comma="1">
      <textFields count="9">
        <textField/>
        <textField/>
        <textField/>
        <textField/>
        <textField/>
        <textField/>
        <textField/>
        <textField/>
        <textField/>
      </textFields>
    </textPr>
  </connection>
  <connection id="12" xr16:uid="{282A2ACA-C449-9A41-BBD6-8194401066FB}" name="q6_digital_adoption" type="6" refreshedVersion="8" background="1" saveData="1">
    <textPr codePage="10000" sourceFile="/Users/prathamkumar/Desktop/Analyzing_Zomato_Restraunts/q6_digital_adoption.csv" tab="0" comma="1">
      <textFields count="10"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3" xr16:uid="{BD093C00-2DE6-6842-8E70-DFF351AD1E03}" name="q7a_dominant_cuisine_per_location" type="6" refreshedVersion="8" background="1" saveData="1">
    <textPr codePage="10000" sourceFile="/Users/prathamkumar/Desktop/Analyzing_Zomato_Restraunts/q7a_dominant_cuisine_per_location.csv" tab="0" comma="1">
      <textFields count="6">
        <textField/>
        <textField/>
        <textField/>
        <textField/>
        <textField/>
        <textField/>
      </textFields>
    </textPr>
  </connection>
  <connection id="14" xr16:uid="{D866BA19-D806-6B4B-88F8-9DADB4765E83}" name="q7b_cuisine_dominance_summary" type="6" refreshedVersion="8" background="1" saveData="1">
    <textPr codePage="10000" sourceFile="/Users/prathamkumar/Desktop/Analyzing_Zomato_Restraunts/q7b_cuisine_dominance_summary.csv" tab="0" comma="1">
      <textFields count="5">
        <textField/>
        <textField/>
        <textField/>
        <textField/>
        <textField/>
      </textFields>
    </textPr>
  </connection>
  <connection id="15" xr16:uid="{DAA79BFA-4076-F541-B8B5-B87D69B1555B}" name="q8a_cuisine_popularity" type="6" refreshedVersion="8" background="1" saveData="1">
    <textPr codePage="10000" sourceFile="/Users/prathamkumar/Desktop/Analyzing_Zomato_Restraunts/q8a_cuisine_popularity.csv" tab="0" comma="1">
      <textFields count="1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6" xr16:uid="{0D1C22B8-153D-3D43-AD93-3C3356DE55FE}" name="q8b_cuisine_quality" type="6" refreshedVersion="8" background="1" saveData="1">
    <textPr codePage="10000" sourceFile="/Users/prathamkumar/Desktop/Analyzing_Zomato_Restraunts/q8b_cuisine_quality.csv" tab="0" comma="1">
      <textFields count="12"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7" xr16:uid="{7789EF2A-CF3A-3A49-94F9-C78A9026E6DF}" name="q9_price_tier_performance" type="6" refreshedVersion="8" background="1" saveData="1">
    <textPr codePage="10000" sourceFile="/Users/prathamkumar/Desktop/Analyzing_Zomato_Restraunts/q9_price_tier_performance.csv" tab="0" comma="1">
      <textFields count="17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<sst xmlns="http://schemas.openxmlformats.org/spreadsheetml/2006/main" count="684" uniqueCount="295">
  <si>
    <t>Byg Brewski Brewing Company</t>
  </si>
  <si>
    <t>Sarjapur Road</t>
  </si>
  <si>
    <t>Continental</t>
  </si>
  <si>
    <t>Microbrewery</t>
  </si>
  <si>
    <t>Premium</t>
  </si>
  <si>
    <t>Toit</t>
  </si>
  <si>
    <t>Indiranagar</t>
  </si>
  <si>
    <t>Italian</t>
  </si>
  <si>
    <t>AB's - Absolute Barbecues</t>
  </si>
  <si>
    <t>Marathahalli</t>
  </si>
  <si>
    <t>European</t>
  </si>
  <si>
    <t>Casual Dining</t>
  </si>
  <si>
    <t>Truffles</t>
  </si>
  <si>
    <t>Koramangala 5th Block</t>
  </si>
  <si>
    <t>Cafe</t>
  </si>
  <si>
    <t>Cafe, Casual Dining</t>
  </si>
  <si>
    <t>The Black Pearl</t>
  </si>
  <si>
    <t>North Indian</t>
  </si>
  <si>
    <t>Casual Dining, Bar</t>
  </si>
  <si>
    <t>BTM</t>
  </si>
  <si>
    <t>Chili's American Grill &amp; Bar</t>
  </si>
  <si>
    <t>Malleshwaram</t>
  </si>
  <si>
    <t>American</t>
  </si>
  <si>
    <t>Big Pitcher</t>
  </si>
  <si>
    <t>Old Airport Road</t>
  </si>
  <si>
    <t>Pub, Microbrewery</t>
  </si>
  <si>
    <t>Barbeque Nation</t>
  </si>
  <si>
    <t>Q1. Top 10 most credible restaurants - rate &gt;= 4.0 AND votes &gt;= 500 (filters out lucky low-vote outliers).</t>
  </si>
  <si>
    <t>Budget</t>
  </si>
  <si>
    <t>Mid-range</t>
  </si>
  <si>
    <t>Q2. Rating tier breakdown across price categories - cross-tab showing % share per tier</t>
  </si>
  <si>
    <t>Q3. Does vote volume predict higher ratings? -  bucket restaurants by vote ranges, compare avg rating</t>
  </si>
  <si>
    <t>HSR</t>
  </si>
  <si>
    <t>JP Nagar</t>
  </si>
  <si>
    <t>Whitefield</t>
  </si>
  <si>
    <t>Jayanagar</t>
  </si>
  <si>
    <t>Bannerghatta Road</t>
  </si>
  <si>
    <t>Bellandur</t>
  </si>
  <si>
    <t>Electronic City</t>
  </si>
  <si>
    <t>Koramangala 1st Block</t>
  </si>
  <si>
    <t>Brigade Road</t>
  </si>
  <si>
    <t>Koramangala 7th Block</t>
  </si>
  <si>
    <t>Koramangala 6th Block</t>
  </si>
  <si>
    <t>Q4. Location leaderboard - restaurant count, avg rating, avg cost for top 15 areas.</t>
  </si>
  <si>
    <t>City Market</t>
  </si>
  <si>
    <t>Koramangala 8th Block</t>
  </si>
  <si>
    <t>Basavanagudi</t>
  </si>
  <si>
    <t>Varthur Main Road, Whitefield</t>
  </si>
  <si>
    <t>Thippasandra</t>
  </si>
  <si>
    <t>Hennur</t>
  </si>
  <si>
    <t>Commercial Street</t>
  </si>
  <si>
    <t>Majestic</t>
  </si>
  <si>
    <t>Jeevan Bhima Nagar</t>
  </si>
  <si>
    <t>Banaswadi</t>
  </si>
  <si>
    <t>HBR Layout</t>
  </si>
  <si>
    <t>Banashankari</t>
  </si>
  <si>
    <t>Wilson Garden</t>
  </si>
  <si>
    <t>Q5. Best value locations - highest avg rating combined with lowest avg cost (≥ 100 restaurants).</t>
  </si>
  <si>
    <t>Nagawara</t>
  </si>
  <si>
    <t>Heavy Delivery</t>
  </si>
  <si>
    <t>Kumaraswamy Layout</t>
  </si>
  <si>
    <t>Yeshwantpur</t>
  </si>
  <si>
    <t>Kaggadasapura</t>
  </si>
  <si>
    <t>ITPL Main Road, Whitefield</t>
  </si>
  <si>
    <t>Balanced</t>
  </si>
  <si>
    <t>Frazer Town</t>
  </si>
  <si>
    <t>Q6. Most digitally active locations - online ordering adoption % ranked across all areas.</t>
  </si>
  <si>
    <t>Koramangala 4th Block</t>
  </si>
  <si>
    <t>Ulsoor</t>
  </si>
  <si>
    <t>South Indian</t>
  </si>
  <si>
    <t>MG Road</t>
  </si>
  <si>
    <t>Q7. Dominant cuisine per location  window function ROW_NUMBER() OVER (PARTITION BY location) across all 93 areas.</t>
  </si>
  <si>
    <t>Fast Food</t>
  </si>
  <si>
    <t>Chinese</t>
  </si>
  <si>
    <t>Kerala</t>
  </si>
  <si>
    <t>Biryani</t>
  </si>
  <si>
    <t>Arabian</t>
  </si>
  <si>
    <t>(B)</t>
  </si>
  <si>
    <t>(A)</t>
  </si>
  <si>
    <t>At Par</t>
  </si>
  <si>
    <t>Above Average</t>
  </si>
  <si>
    <t>Bakery</t>
  </si>
  <si>
    <t>Desserts</t>
  </si>
  <si>
    <t>Star Performer</t>
  </si>
  <si>
    <t>Beverages</t>
  </si>
  <si>
    <t>Andhra</t>
  </si>
  <si>
    <t>Ice Cream</t>
  </si>
  <si>
    <t>Street Food</t>
  </si>
  <si>
    <t>Mithai</t>
  </si>
  <si>
    <t>Modern Indian</t>
  </si>
  <si>
    <t>Mediterranean</t>
  </si>
  <si>
    <t>Japanese</t>
  </si>
  <si>
    <t>Asian</t>
  </si>
  <si>
    <t>Thai</t>
  </si>
  <si>
    <t>Goan</t>
  </si>
  <si>
    <t>Lebanese</t>
  </si>
  <si>
    <t>BBQ</t>
  </si>
  <si>
    <t>Rajasthani</t>
  </si>
  <si>
    <t>Finger Food</t>
  </si>
  <si>
    <t>Q8. Cuisine performance table — avg rating, avg cost, restaurant count for top 15 cuisines.</t>
  </si>
  <si>
    <t>NULL</t>
  </si>
  <si>
    <t>Baseline tier</t>
  </si>
  <si>
    <t>Q9. Price tier performance — avg rating, avg votes, total count per tier (is premium pricing justified?)</t>
  </si>
  <si>
    <t>Q10. Hidden gems — budget restaurants (≤ ₹400) rated ≥ 4.0, ranked by votes (best value finds).</t>
  </si>
  <si>
    <t>Vidyarthi Bhavan</t>
  </si>
  <si>
    <t>Quick Bites</t>
  </si>
  <si>
    <t>Excellent</t>
  </si>
  <si>
    <t>CTR</t>
  </si>
  <si>
    <t>Exceptional</t>
  </si>
  <si>
    <t>Kota Kachori</t>
  </si>
  <si>
    <t>Mavalli Tiffin Room (MTR)</t>
  </si>
  <si>
    <t>Brahmin's Coffee Bar</t>
  </si>
  <si>
    <t>Veena Stores</t>
  </si>
  <si>
    <t>Corner House Ice Cream</t>
  </si>
  <si>
    <t>Dessert Parlor</t>
  </si>
  <si>
    <t>Milano Ice Cream</t>
  </si>
  <si>
    <t>Art of Delight</t>
  </si>
  <si>
    <t>Residency Road</t>
  </si>
  <si>
    <t>Berry'd Alive</t>
  </si>
  <si>
    <t>Hari Super Sandwich</t>
  </si>
  <si>
    <t>BelgYum</t>
  </si>
  <si>
    <t>Maiyas</t>
  </si>
  <si>
    <t>Very Good</t>
  </si>
  <si>
    <t>Belgian Waffle Factory</t>
  </si>
  <si>
    <t>Online Ordering</t>
  </si>
  <si>
    <t>Dine-in Only</t>
  </si>
  <si>
    <t>Strong signal</t>
  </si>
  <si>
    <t>Weak signal</t>
  </si>
  <si>
    <t>No signal</t>
  </si>
  <si>
    <t>Benchmark</t>
  </si>
  <si>
    <t>Q12. Dual-service restaurants (online ordering + table booking both) vs single-service vs neither.</t>
  </si>
  <si>
    <t>Q11. Online ordering vs dine-in only — avg rating, avg cost, count side-by-side comparison.</t>
  </si>
  <si>
    <t>Name</t>
  </si>
  <si>
    <t>Location</t>
  </si>
  <si>
    <t>Primary_Cuisine</t>
  </si>
  <si>
    <t>Rest_Type</t>
  </si>
  <si>
    <t>Votes</t>
  </si>
  <si>
    <t>Rate</t>
  </si>
  <si>
    <t>Cost_for_two</t>
  </si>
  <si>
    <t>Price_Category</t>
  </si>
  <si>
    <t>Online_Order</t>
  </si>
  <si>
    <t>Book_Table</t>
  </si>
  <si>
    <t>Credibility_Score</t>
  </si>
  <si>
    <t>Price_category</t>
  </si>
  <si>
    <t>Total_Restaurants</t>
  </si>
  <si>
    <t>Avg_rate</t>
  </si>
  <si>
    <t>Excellent_count</t>
  </si>
  <si>
    <t>Good_count</t>
  </si>
  <si>
    <t>Average_count</t>
  </si>
  <si>
    <t>Poor_count</t>
  </si>
  <si>
    <t>Unrated_count</t>
  </si>
  <si>
    <t xml:space="preserve"> Minimal   (0 -10)</t>
  </si>
  <si>
    <t xml:space="preserve"> Low       (11 -100)</t>
  </si>
  <si>
    <t xml:space="preserve"> Moderate  (101 -500)</t>
  </si>
  <si>
    <t xml:space="preserve"> Good      (501 -1,000)</t>
  </si>
  <si>
    <t xml:space="preserve"> High      (1,001 -5,000)</t>
  </si>
  <si>
    <t xml:space="preserve"> Very High  (5,001+)</t>
  </si>
  <si>
    <t>Vote_bucket</t>
  </si>
  <si>
    <t>Total_restaurants</t>
  </si>
  <si>
    <t>Avg_votes</t>
  </si>
  <si>
    <t>Avg_rating</t>
  </si>
  <si>
    <t>Min_rating</t>
  </si>
  <si>
    <t>Max_rating</t>
  </si>
  <si>
    <t>Market_share_pct</t>
  </si>
  <si>
    <t>Avg_cost</t>
  </si>
  <si>
    <t>Value_rank</t>
  </si>
  <si>
    <t>Value_score</t>
  </si>
  <si>
    <t>Digital_rank</t>
  </si>
  <si>
    <t>Vs_platform_avg</t>
  </si>
  <si>
    <t>Digital_score</t>
  </si>
  <si>
    <t>Market_type</t>
  </si>
  <si>
    <t>Dominant_cuisine</t>
  </si>
  <si>
    <t>Dominant_cuisine_count</t>
  </si>
  <si>
    <t>Cuisine_avg_rating</t>
  </si>
  <si>
    <t>Locations_dominated</t>
  </si>
  <si>
    <t>Pct_of_all_locations</t>
  </si>
  <si>
    <t>Total_restaurants_as_dominant</t>
  </si>
  <si>
    <t>Avg_count_per_location</t>
  </si>
  <si>
    <t>Popularity_rank</t>
  </si>
  <si>
    <t>Quality_rank</t>
  </si>
  <si>
    <t>Primary_cuisine</t>
  </si>
  <si>
    <t>Total_count</t>
  </si>
  <si>
    <t>Rated_count</t>
  </si>
  <si>
    <t>Performance_index</t>
  </si>
  <si>
    <t>Performance_tier</t>
  </si>
  <si>
    <t>Total_budget_restaurants</t>
  </si>
  <si>
    <t>Rated_budget</t>
  </si>
  <si>
    <t>Rated_4_plus</t>
  </si>
  <si>
    <t>Pct_of_rated_budget</t>
  </si>
  <si>
    <t>Proven_gems</t>
  </si>
  <si>
    <t>Pct_of_all_budget</t>
  </si>
  <si>
    <t>Gems_avg_cost</t>
  </si>
  <si>
    <t>Gems_avg_rating</t>
  </si>
  <si>
    <t>Gem_rank</t>
  </si>
  <si>
    <t>Proof_bucket</t>
  </si>
  <si>
    <t>Rest_type</t>
  </si>
  <si>
    <t>Value_index</t>
  </si>
  <si>
    <t>Beats_pct_of_platform</t>
  </si>
  <si>
    <t>Online_order</t>
  </si>
  <si>
    <t>Book_table</t>
  </si>
  <si>
    <t>Gem_tier</t>
  </si>
  <si>
    <t>Rating_jump_vs_prev</t>
  </si>
  <si>
    <t>Cost_jump_vs_prev</t>
  </si>
  <si>
    <t>Votes_jump_vs_prev</t>
  </si>
  <si>
    <t>Price_jump_verdict</t>
  </si>
  <si>
    <t>Both Services</t>
  </si>
  <si>
    <t>Online Only</t>
  </si>
  <si>
    <t>Table Only</t>
  </si>
  <si>
    <t>Neither</t>
  </si>
  <si>
    <t>Platform Average</t>
  </si>
  <si>
    <t>Total_in_tier</t>
  </si>
  <si>
    <t>Tier_avg_rating</t>
  </si>
  <si>
    <t>Service_segment</t>
  </si>
  <si>
    <t>Median_rating</t>
  </si>
  <si>
    <t>Digital_verdict</t>
  </si>
  <si>
    <t>Service_type</t>
  </si>
  <si>
    <t>Restaurant_count</t>
  </si>
  <si>
    <t>Median_cost</t>
  </si>
  <si>
    <t>Rating_jump</t>
  </si>
  <si>
    <t>Signal_label</t>
  </si>
  <si>
    <t>Verdict</t>
  </si>
  <si>
    <t>Quality_jump</t>
  </si>
  <si>
    <t>_</t>
  </si>
  <si>
    <t>Unrated_pct (%)</t>
  </si>
  <si>
    <t>Quality_score_pct (%)</t>
  </si>
  <si>
    <t>Excellent_pct (%)</t>
  </si>
  <si>
    <t>Good_pct (%)</t>
  </si>
  <si>
    <t>Average_pct (%)</t>
  </si>
  <si>
    <t>Poor_pct (%)</t>
  </si>
  <si>
    <t>Quality Score by Price Tier</t>
  </si>
  <si>
    <t>Online_order_pct (%)</t>
  </si>
  <si>
    <t>Book_table_pct (%)</t>
  </si>
  <si>
    <t>Combined Location Ranking - Cross-Referenced from Q4, Q5, Q6.</t>
  </si>
  <si>
    <t>Volume_rank</t>
  </si>
  <si>
    <t>Ranks_available</t>
  </si>
  <si>
    <t>Overall_rank</t>
  </si>
  <si>
    <t>Cuisine_share_pct (%)</t>
  </si>
  <si>
    <t>Rank_gap</t>
  </si>
  <si>
    <t>Rank_gap_label</t>
  </si>
  <si>
    <t>Popularity vs Quality — Who's Overrated, Who's a Hidden Gem</t>
  </si>
  <si>
    <t>Marginal - small quality gain</t>
  </si>
  <si>
    <t>Justified - large quality gain</t>
  </si>
  <si>
    <t>Market_share_pct (%)</t>
  </si>
  <si>
    <t>Gem Rarity Funnel</t>
  </si>
  <si>
    <t>Stage</t>
  </si>
  <si>
    <t>Count</t>
  </si>
  <si>
    <t>Pct_of_previous</t>
  </si>
  <si>
    <t>Total Budget restaurants</t>
  </si>
  <si>
    <t>Rated at all</t>
  </si>
  <si>
    <t>Never reviewed</t>
  </si>
  <si>
    <t>Rated 4.0+</t>
  </si>
  <si>
    <t>Proven gems (4.0+ AND 100+ votes)</t>
  </si>
  <si>
    <t>Unproven gems (4.0+ but under 100 votes)</t>
  </si>
  <si>
    <t>What-If: Enter a budget (₹) to estimate expected quality</t>
  </si>
  <si>
    <t>Pct_of_platform (%)</t>
  </si>
  <si>
    <t>Also_book_table_pct (%)</t>
  </si>
  <si>
    <t>Pct_within_service (%)</t>
  </si>
  <si>
    <t>Premium_pct (%)</t>
  </si>
  <si>
    <t>Both_services_pct (%)</t>
  </si>
  <si>
    <t>Online_only_pct (%)</t>
  </si>
  <si>
    <t>Table_only_pct (%)</t>
  </si>
  <si>
    <t>Neither_pct (%)</t>
  </si>
  <si>
    <t>Within_tier_gap</t>
  </si>
  <si>
    <t>KPI Summary</t>
  </si>
  <si>
    <t>Total Restraunts</t>
  </si>
  <si>
    <t>Platform Average Rating</t>
  </si>
  <si>
    <t>Unique Locations</t>
  </si>
  <si>
    <t>Unique Cuisines</t>
  </si>
  <si>
    <t>Unrated Restraunts</t>
  </si>
  <si>
    <t>Average cost for two</t>
  </si>
  <si>
    <t>Table Booking</t>
  </si>
  <si>
    <t>Top 5 Findings Across the Analysis</t>
  </si>
  <si>
    <t>Dimension</t>
  </si>
  <si>
    <t>Source</t>
  </si>
  <si>
    <t xml:space="preserve">Key Finding </t>
  </si>
  <si>
    <t>Number</t>
  </si>
  <si>
    <t>Rating</t>
  </si>
  <si>
    <t>Cuisine</t>
  </si>
  <si>
    <t>Pricing</t>
  </si>
  <si>
    <t>Service</t>
  </si>
  <si>
    <t>Restraunts with 5000+ votes are always Good or Excellent</t>
  </si>
  <si>
    <t>Koramangala 5th Block is the most reliable location in Bengaluru</t>
  </si>
  <si>
    <t>North Indian dominates supply but ranks poorly on quality</t>
  </si>
  <si>
    <t>Budget hidden gems outrate the entire premium tier on average</t>
  </si>
  <si>
    <t>Table booking alone predicts quality better than combining both services</t>
  </si>
  <si>
    <t xml:space="preserve">100% quality score </t>
  </si>
  <si>
    <t>90% quality score</t>
  </si>
  <si>
    <t>65.6% of locations, Rank #39</t>
  </si>
  <si>
    <t>4.17 vs 4.04 avg rating</t>
  </si>
  <si>
    <t>4.16 vs 4.13 avg rating</t>
  </si>
  <si>
    <t>Q3</t>
  </si>
  <si>
    <t>Q4</t>
  </si>
  <si>
    <t>Q7/Q8</t>
  </si>
  <si>
    <t>Q10</t>
  </si>
  <si>
    <t>Q12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</si>
</sst>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5" formatCode="&quot;₹&quot;#,##0_);\(&quot;₹&quot;#,##0\)"/>
  </numFmts>
  <fonts count="11" x14ac:knownFonts="1">
    <font>
      <sz val="12"/>
      <color theme="1"/>
      <name val="Aptos Narrow"/>
      <family val="2"/>
      <scheme val="minor"/>
    </font>
    <font>
      <b/>
      <sz val="14"/>
      <color theme="1"/>
      <name val="Aptos Narrow"/>
      <scheme val="minor"/>
    </font>
    <font>
      <b/>
      <i/>
      <sz val="14"/>
      <color theme="1"/>
      <name val="Aptos Narrow"/>
      <scheme val="minor"/>
    </font>
    <font>
      <b/>
      <sz val="12"/>
      <color theme="1"/>
      <name val="Aptos Narrow"/>
      <scheme val="minor"/>
    </font>
    <font>
      <b/>
      <i/>
      <sz val="12"/>
      <color theme="1"/>
      <name val="Aptos Narrow"/>
      <scheme val="minor"/>
    </font>
    <font>
      <sz val="12"/>
      <color theme="1"/>
      <name val="Aptos Narrow"/>
      <scheme val="minor"/>
    </font>
    <font>
      <b/>
      <i/>
      <sz val="18"/>
      <color theme="1"/>
      <name val="Aptos Narrow"/>
      <scheme val="minor"/>
    </font>
    <font>
      <b/>
      <i/>
      <sz val="14"/>
      <color theme="0"/>
      <name val="Aptos Narrow"/>
      <scheme val="minor"/>
    </font>
    <font>
      <b/>
      <sz val="14"/>
      <color theme="0"/>
      <name val="Aptos Narrow"/>
      <scheme val="minor"/>
    </font>
    <font>
      <b/>
      <sz val="24"/>
      <color theme="0"/>
      <name val="Aptos Narrow"/>
      <scheme val="minor"/>
    </font>
    <font>
      <b/>
      <sz val="12"/>
      <color theme="3" tint="9.9978637043366805E-2"/>
      <name val="Aptos Narrow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9.9978637043366805E-2"/>
        <bgColor indexed="64"/>
      </patternFill>
    </fill>
  </fills>
  <borders count="11">
    <border>
      <left/>
      <right/>
      <top/>
      <bottom/>
      <diagonal/>
    </border>
    <border>
      <left/>
      <right style="thick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9">
    <xf numFmtId="0" fontId="0" fillId="0" borderId="0" xfId="0"/>
    <xf numFmtId="0" fontId="2" fillId="0" borderId="0" xfId="0" applyFont="1" applyAlignment="1">
      <alignment horizontal="left"/>
    </xf>
    <xf numFmtId="0" fontId="0" fillId="0" borderId="1" xfId="0" applyBorder="1"/>
    <xf numFmtId="0" fontId="0" fillId="0" borderId="0" xfId="0" applyAlignment="1"/>
    <xf numFmtId="0" fontId="4" fillId="0" borderId="0" xfId="0" applyFont="1" applyAlignment="1">
      <alignment horizontal="center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horizontal="left" wrapText="1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2" fillId="0" borderId="0" xfId="0" applyFont="1" applyAlignment="1">
      <alignment horizontal="left"/>
    </xf>
    <xf numFmtId="5" fontId="0" fillId="0" borderId="0" xfId="0" applyNumberFormat="1" applyBorder="1" applyAlignment="1">
      <alignment horizontal="center"/>
    </xf>
    <xf numFmtId="5" fontId="0" fillId="0" borderId="9" xfId="0" applyNumberFormat="1" applyBorder="1" applyAlignment="1">
      <alignment horizontal="center"/>
    </xf>
    <xf numFmtId="3" fontId="0" fillId="0" borderId="0" xfId="0" applyNumberFormat="1" applyBorder="1" applyAlignment="1">
      <alignment horizontal="center"/>
    </xf>
    <xf numFmtId="3" fontId="0" fillId="0" borderId="9" xfId="0" applyNumberFormat="1" applyBorder="1" applyAlignment="1">
      <alignment horizontal="center"/>
    </xf>
    <xf numFmtId="3" fontId="5" fillId="0" borderId="0" xfId="0" applyNumberFormat="1" applyFont="1" applyBorder="1" applyAlignment="1">
      <alignment horizontal="center"/>
    </xf>
    <xf numFmtId="3" fontId="5" fillId="0" borderId="9" xfId="0" applyNumberFormat="1" applyFont="1" applyBorder="1" applyAlignment="1">
      <alignment horizontal="center"/>
    </xf>
    <xf numFmtId="2" fontId="0" fillId="0" borderId="0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2" fillId="0" borderId="0" xfId="0" applyFont="1" applyFill="1" applyAlignment="1"/>
    <xf numFmtId="5" fontId="1" fillId="2" borderId="4" xfId="0" applyNumberFormat="1" applyFont="1" applyFill="1" applyBorder="1" applyAlignment="1">
      <alignment horizontal="center"/>
    </xf>
    <xf numFmtId="5" fontId="0" fillId="0" borderId="0" xfId="0" applyNumberFormat="1"/>
    <xf numFmtId="0" fontId="2" fillId="3" borderId="0" xfId="0" applyFont="1" applyFill="1" applyAlignment="1">
      <alignment horizontal="left"/>
    </xf>
    <xf numFmtId="2" fontId="0" fillId="0" borderId="7" xfId="0" applyNumberFormat="1" applyBorder="1" applyAlignment="1">
      <alignment horizontal="center"/>
    </xf>
    <xf numFmtId="2" fontId="5" fillId="0" borderId="0" xfId="0" applyNumberFormat="1" applyFont="1" applyBorder="1" applyAlignment="1">
      <alignment horizontal="center"/>
    </xf>
    <xf numFmtId="2" fontId="5" fillId="0" borderId="9" xfId="0" applyNumberFormat="1" applyFont="1" applyBorder="1" applyAlignment="1">
      <alignment horizontal="center"/>
    </xf>
    <xf numFmtId="5" fontId="5" fillId="0" borderId="0" xfId="0" applyNumberFormat="1" applyFont="1" applyBorder="1" applyAlignment="1">
      <alignment horizontal="center"/>
    </xf>
    <xf numFmtId="5" fontId="5" fillId="0" borderId="9" xfId="0" applyNumberFormat="1" applyFont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10" fontId="0" fillId="0" borderId="7" xfId="0" applyNumberFormat="1" applyBorder="1"/>
    <xf numFmtId="10" fontId="0" fillId="0" borderId="10" xfId="0" applyNumberFormat="1" applyBorder="1"/>
    <xf numFmtId="3" fontId="0" fillId="0" borderId="0" xfId="0" applyNumberFormat="1" applyBorder="1"/>
    <xf numFmtId="3" fontId="0" fillId="0" borderId="9" xfId="0" applyNumberFormat="1" applyBorder="1"/>
    <xf numFmtId="0" fontId="0" fillId="4" borderId="2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1" fillId="2" borderId="5" xfId="0" applyFont="1" applyFill="1" applyBorder="1"/>
    <xf numFmtId="0" fontId="6" fillId="3" borderId="0" xfId="0" applyFont="1" applyFill="1" applyAlignment="1">
      <alignment horizontal="left"/>
    </xf>
    <xf numFmtId="0" fontId="7" fillId="5" borderId="0" xfId="0" applyFont="1" applyFill="1" applyAlignment="1">
      <alignment horizontal="center"/>
    </xf>
    <xf numFmtId="0" fontId="0" fillId="0" borderId="0" xfId="0" applyAlignment="1">
      <alignment vertical="top"/>
    </xf>
    <xf numFmtId="0" fontId="9" fillId="5" borderId="0" xfId="0" applyFont="1" applyFill="1" applyAlignment="1">
      <alignment horizontal="center" vertical="top"/>
    </xf>
    <xf numFmtId="0" fontId="9" fillId="5" borderId="0" xfId="0" applyFont="1" applyFill="1" applyAlignment="1">
      <alignment horizontal="center"/>
    </xf>
    <xf numFmtId="10" fontId="9" fillId="5" borderId="0" xfId="0" applyNumberFormat="1" applyFont="1" applyFill="1" applyAlignment="1">
      <alignment horizontal="center"/>
    </xf>
    <xf numFmtId="0" fontId="3" fillId="2" borderId="0" xfId="0" applyFont="1" applyFill="1" applyAlignment="1">
      <alignment horizontal="center" vertical="top" wrapText="1"/>
    </xf>
    <xf numFmtId="0" fontId="3" fillId="2" borderId="0" xfId="0" applyFont="1" applyFill="1" applyAlignment="1">
      <alignment horizontal="center" vertical="top"/>
    </xf>
    <xf numFmtId="0" fontId="3" fillId="2" borderId="0" xfId="0" applyFont="1" applyFill="1" applyAlignment="1">
      <alignment horizontal="center"/>
    </xf>
    <xf numFmtId="3" fontId="9" fillId="5" borderId="0" xfId="0" applyNumberFormat="1" applyFont="1" applyFill="1" applyAlignment="1">
      <alignment horizontal="center" vertical="top"/>
    </xf>
    <xf numFmtId="2" fontId="9" fillId="5" borderId="0" xfId="0" applyNumberFormat="1" applyFont="1" applyFill="1" applyAlignment="1">
      <alignment horizontal="center" vertical="top"/>
    </xf>
    <xf numFmtId="5" fontId="9" fillId="5" borderId="0" xfId="0" applyNumberFormat="1" applyFont="1" applyFill="1" applyAlignment="1">
      <alignment horizontal="center"/>
    </xf>
    <xf numFmtId="0" fontId="3" fillId="0" borderId="6" xfId="0" applyFont="1" applyBorder="1" applyAlignment="1">
      <alignment horizontal="left"/>
    </xf>
    <xf numFmtId="0" fontId="3" fillId="0" borderId="0" xfId="0" applyFont="1" applyBorder="1" applyAlignment="1">
      <alignment horizontal="left"/>
    </xf>
    <xf numFmtId="0" fontId="0" fillId="0" borderId="0" xfId="0" applyBorder="1" applyAlignment="1">
      <alignment horizontal="center"/>
    </xf>
    <xf numFmtId="0" fontId="10" fillId="0" borderId="0" xfId="0" applyFont="1" applyBorder="1" applyAlignment="1">
      <alignment horizontal="center"/>
    </xf>
    <xf numFmtId="0" fontId="3" fillId="0" borderId="8" xfId="0" applyFont="1" applyBorder="1" applyAlignment="1">
      <alignment horizontal="left"/>
    </xf>
    <xf numFmtId="0" fontId="3" fillId="0" borderId="9" xfId="0" applyFont="1" applyBorder="1" applyAlignment="1">
      <alignment horizontal="left"/>
    </xf>
    <xf numFmtId="0" fontId="0" fillId="0" borderId="9" xfId="0" applyBorder="1" applyAlignment="1">
      <alignment horizontal="center"/>
    </xf>
    <xf numFmtId="0" fontId="10" fillId="0" borderId="9" xfId="0" applyFont="1" applyBorder="1" applyAlignment="1">
      <alignment horizontal="center"/>
    </xf>
    <xf numFmtId="0" fontId="3" fillId="2" borderId="6" xfId="0" applyFont="1" applyFill="1" applyBorder="1" applyAlignment="1">
      <alignment horizontal="left"/>
    </xf>
    <xf numFmtId="0" fontId="3" fillId="2" borderId="0" xfId="0" applyFont="1" applyFill="1" applyBorder="1" applyAlignment="1">
      <alignment horizontal="left"/>
    </xf>
    <xf numFmtId="0" fontId="0" fillId="2" borderId="0" xfId="0" applyFill="1" applyBorder="1" applyAlignment="1">
      <alignment horizontal="center"/>
    </xf>
    <xf numFmtId="0" fontId="10" fillId="2" borderId="0" xfId="0" applyFont="1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8" fillId="5" borderId="3" xfId="0" applyFont="1" applyFill="1" applyBorder="1" applyAlignment="1">
      <alignment horizontal="center"/>
    </xf>
    <xf numFmtId="0" fontId="8" fillId="5" borderId="4" xfId="0" applyFont="1" applyFill="1" applyBorder="1" applyAlignment="1">
      <alignment horizontal="center"/>
    </xf>
    <xf numFmtId="0" fontId="8" fillId="5" borderId="5" xfId="0" applyFont="1" applyFill="1" applyBorder="1" applyAlignment="1">
      <alignment horizontal="center"/>
    </xf>
  </cellXfs>
  <cellStyles count="1">
    <cellStyle name="Normal" xfId="0" builtinId="0"/>
  </cellStyles>
  <dxfs count="28"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0" tint="-0.34998626667073579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theme="0" tint="-0.34998626667073579"/>
        </patternFill>
      </fill>
    </dxf>
    <dxf>
      <font>
        <color theme="1"/>
      </font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Rating_Analysis!$O$10</c:f>
              <c:strCache>
                <c:ptCount val="1"/>
                <c:pt idx="0">
                  <c:v>Quality_score_pct (%)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dPt>
            <c:idx val="0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 w="9525" cap="flat" cmpd="sng" algn="ctr">
                <a:solidFill>
                  <a:schemeClr val="accent1"/>
                </a:solidFill>
                <a:miter lim="800000"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01-40AB-DE43-8655-1DEE1C832A99}"/>
              </c:ext>
            </c:extLst>
          </c:dPt>
          <c:dPt>
            <c:idx val="1"/>
            <c:invertIfNegative val="0"/>
            <c:bubble3D val="0"/>
            <c:spPr>
              <a:solidFill>
                <a:srgbClr val="FFC000"/>
              </a:solidFill>
              <a:ln w="9525" cap="flat" cmpd="sng" algn="ctr">
                <a:solidFill>
                  <a:schemeClr val="accent1"/>
                </a:solidFill>
                <a:miter lim="800000"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02-40AB-DE43-8655-1DEE1C832A99}"/>
              </c:ext>
            </c:extLst>
          </c:dPt>
          <c:dPt>
            <c:idx val="2"/>
            <c:invertIfNegative val="0"/>
            <c:bubble3D val="0"/>
            <c:spPr>
              <a:solidFill>
                <a:srgbClr val="92D050"/>
              </a:solidFill>
              <a:ln w="9525" cap="flat" cmpd="sng" algn="ctr">
                <a:solidFill>
                  <a:schemeClr val="accent1"/>
                </a:solidFill>
                <a:miter lim="800000"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03-40AB-DE43-8655-1DEE1C832A9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Rating_Analysis!$N$11:$N$13</c:f>
              <c:strCache>
                <c:ptCount val="3"/>
                <c:pt idx="0">
                  <c:v>Budget</c:v>
                </c:pt>
                <c:pt idx="1">
                  <c:v>Mid-range</c:v>
                </c:pt>
                <c:pt idx="2">
                  <c:v>Premium</c:v>
                </c:pt>
              </c:strCache>
            </c:strRef>
          </c:cat>
          <c:val>
            <c:numRef>
              <c:f>Rating_Analysis!$O$11:$O$13</c:f>
              <c:numCache>
                <c:formatCode>General</c:formatCode>
                <c:ptCount val="3"/>
                <c:pt idx="0">
                  <c:v>63.6</c:v>
                </c:pt>
                <c:pt idx="1">
                  <c:v>74.3</c:v>
                </c:pt>
                <c:pt idx="2">
                  <c:v>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AB-DE43-8655-1DEE1C832A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5"/>
        <c:overlap val="-40"/>
        <c:axId val="1981834880"/>
        <c:axId val="1981832640"/>
      </c:barChart>
      <c:catAx>
        <c:axId val="198183488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1832640"/>
        <c:crosses val="autoZero"/>
        <c:auto val="1"/>
        <c:lblAlgn val="ctr"/>
        <c:lblOffset val="100"/>
        <c:noMultiLvlLbl val="0"/>
      </c:catAx>
      <c:valAx>
        <c:axId val="198183264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18348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Top 15 Locations by Quality Score.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Location_Analysis!$AI$3</c:f>
              <c:strCache>
                <c:ptCount val="1"/>
                <c:pt idx="0">
                  <c:v>Quality_score_pct (%)</c:v>
                </c:pt>
              </c:strCache>
            </c:strRef>
          </c:tx>
          <c:spPr>
            <a:solidFill>
              <a:schemeClr val="accent2"/>
            </a:solidFill>
            <a:ln w="9525" cap="flat" cmpd="sng" algn="ctr">
              <a:solidFill>
                <a:schemeClr val="accent2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Location_Analysis!$AH$4:$AH$18</c:f>
              <c:strCache>
                <c:ptCount val="15"/>
                <c:pt idx="0">
                  <c:v>Koramangala 5th Block</c:v>
                </c:pt>
                <c:pt idx="1">
                  <c:v>Koramangala 7th Block</c:v>
                </c:pt>
                <c:pt idx="2">
                  <c:v>Jayanagar</c:v>
                </c:pt>
                <c:pt idx="3">
                  <c:v>Koramangala 6th Block</c:v>
                </c:pt>
                <c:pt idx="4">
                  <c:v>Indiranagar</c:v>
                </c:pt>
                <c:pt idx="5">
                  <c:v>Koramangala 1st Block</c:v>
                </c:pt>
                <c:pt idx="6">
                  <c:v>Brigade Road</c:v>
                </c:pt>
                <c:pt idx="7">
                  <c:v>JP Nagar</c:v>
                </c:pt>
                <c:pt idx="8">
                  <c:v>HSR</c:v>
                </c:pt>
                <c:pt idx="9">
                  <c:v>BTM</c:v>
                </c:pt>
                <c:pt idx="10">
                  <c:v>Whitefield</c:v>
                </c:pt>
                <c:pt idx="11">
                  <c:v>Marathahalli</c:v>
                </c:pt>
                <c:pt idx="12">
                  <c:v>Bellandur</c:v>
                </c:pt>
                <c:pt idx="13">
                  <c:v>Bannerghatta Road</c:v>
                </c:pt>
                <c:pt idx="14">
                  <c:v>Electronic City</c:v>
                </c:pt>
              </c:strCache>
            </c:strRef>
          </c:cat>
          <c:val>
            <c:numRef>
              <c:f>Location_Analysis!$AI$4:$AI$18</c:f>
              <c:numCache>
                <c:formatCode>General</c:formatCode>
                <c:ptCount val="15"/>
                <c:pt idx="0">
                  <c:v>90</c:v>
                </c:pt>
                <c:pt idx="1">
                  <c:v>85.4</c:v>
                </c:pt>
                <c:pt idx="2">
                  <c:v>82.5</c:v>
                </c:pt>
                <c:pt idx="3">
                  <c:v>81.7</c:v>
                </c:pt>
                <c:pt idx="4">
                  <c:v>80.900000000000006</c:v>
                </c:pt>
                <c:pt idx="5">
                  <c:v>76.400000000000006</c:v>
                </c:pt>
                <c:pt idx="6">
                  <c:v>73.5</c:v>
                </c:pt>
                <c:pt idx="7">
                  <c:v>73.3</c:v>
                </c:pt>
                <c:pt idx="8">
                  <c:v>72.900000000000006</c:v>
                </c:pt>
                <c:pt idx="9">
                  <c:v>65.599999999999994</c:v>
                </c:pt>
                <c:pt idx="10">
                  <c:v>64.599999999999994</c:v>
                </c:pt>
                <c:pt idx="11">
                  <c:v>61.6</c:v>
                </c:pt>
                <c:pt idx="12">
                  <c:v>59.8</c:v>
                </c:pt>
                <c:pt idx="13">
                  <c:v>55.5</c:v>
                </c:pt>
                <c:pt idx="14">
                  <c:v>55.2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8A-0844-946A-0665FCD1F5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-50"/>
        <c:axId val="1959060224"/>
        <c:axId val="1959066944"/>
      </c:barChart>
      <c:catAx>
        <c:axId val="1959060224"/>
        <c:scaling>
          <c:orientation val="maxMin"/>
        </c:scaling>
        <c:delete val="0"/>
        <c:axPos val="l"/>
        <c:majorGridlines>
          <c:spPr>
            <a:ln w="9525" cap="flat" cmpd="sng" algn="ctr">
              <a:gradFill>
                <a:gsLst>
                  <a:gs pos="0">
                    <a:schemeClr val="dk1">
                      <a:lumMod val="65000"/>
                      <a:lumOff val="35000"/>
                    </a:schemeClr>
                  </a:gs>
                  <a:gs pos="100000">
                    <a:schemeClr val="dk1">
                      <a:lumMod val="75000"/>
                      <a:lumOff val="25000"/>
                    </a:schemeClr>
                  </a:gs>
                </a:gsLst>
                <a:lin ang="108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9066944"/>
        <c:crosses val="autoZero"/>
        <c:auto val="1"/>
        <c:lblAlgn val="ctr"/>
        <c:lblOffset val="100"/>
        <c:noMultiLvlLbl val="0"/>
      </c:catAx>
      <c:valAx>
        <c:axId val="1959066944"/>
        <c:scaling>
          <c:orientation val="minMax"/>
        </c:scaling>
        <c:delete val="0"/>
        <c:axPos val="t"/>
        <c:majorGridlines>
          <c:spPr>
            <a:ln w="9525" cap="flat" cmpd="sng" algn="ctr">
              <a:gradFill>
                <a:gsLst>
                  <a:gs pos="0">
                    <a:schemeClr val="dk1">
                      <a:lumMod val="65000"/>
                      <a:lumOff val="35000"/>
                    </a:schemeClr>
                  </a:gs>
                  <a:gs pos="100000">
                    <a:schemeClr val="dk1">
                      <a:lumMod val="75000"/>
                      <a:lumOff val="25000"/>
                    </a:schemeClr>
                  </a:gs>
                </a:gsLst>
                <a:lin ang="108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90602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cap="none" baseline="0"/>
              <a:t>Popularity vs Quality — Hidden Gems vs Overrated Cuisines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Cuisine_Analysis!$Q$25</c:f>
              <c:strCache>
                <c:ptCount val="1"/>
                <c:pt idx="0">
                  <c:v>Rank_gap</c:v>
                </c:pt>
              </c:strCache>
            </c:strRef>
          </c:tx>
          <c:spPr>
            <a:solidFill>
              <a:srgbClr val="FF0000"/>
            </a:solidFill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dPt>
            <c:idx val="4"/>
            <c:invertIfNegative val="0"/>
            <c:bubble3D val="0"/>
            <c:spPr>
              <a:solidFill>
                <a:srgbClr val="92D050"/>
              </a:solidFill>
              <a:ln w="9525" cap="flat" cmpd="sng" algn="ctr">
                <a:solidFill>
                  <a:schemeClr val="accent1"/>
                </a:solidFill>
                <a:miter lim="800000"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dPt>
          <c:dPt>
            <c:idx val="5"/>
            <c:invertIfNegative val="0"/>
            <c:bubble3D val="0"/>
            <c:spPr>
              <a:solidFill>
                <a:srgbClr val="92D050"/>
              </a:solidFill>
              <a:ln w="9525" cap="flat" cmpd="sng" algn="ctr">
                <a:solidFill>
                  <a:schemeClr val="accent1"/>
                </a:solidFill>
                <a:miter lim="800000"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dPt>
          <c:dPt>
            <c:idx val="6"/>
            <c:invertIfNegative val="0"/>
            <c:bubble3D val="0"/>
            <c:spPr>
              <a:solidFill>
                <a:srgbClr val="92D050"/>
              </a:solidFill>
              <a:ln w="9525" cap="flat" cmpd="sng" algn="ctr">
                <a:solidFill>
                  <a:schemeClr val="accent1"/>
                </a:solidFill>
                <a:miter lim="800000"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dPt>
          <c:dPt>
            <c:idx val="7"/>
            <c:invertIfNegative val="0"/>
            <c:bubble3D val="0"/>
            <c:spPr>
              <a:solidFill>
                <a:srgbClr val="92D050"/>
              </a:solidFill>
              <a:ln w="9525" cap="flat" cmpd="sng" algn="ctr">
                <a:solidFill>
                  <a:schemeClr val="accent1"/>
                </a:solidFill>
                <a:miter lim="800000"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Cuisine_Analysis!$P$26:$P$33</c:f>
              <c:strCache>
                <c:ptCount val="8"/>
                <c:pt idx="0">
                  <c:v>Biryani</c:v>
                </c:pt>
                <c:pt idx="1">
                  <c:v>Fast Food</c:v>
                </c:pt>
                <c:pt idx="2">
                  <c:v>North Indian</c:v>
                </c:pt>
                <c:pt idx="3">
                  <c:v>South Indian</c:v>
                </c:pt>
                <c:pt idx="4">
                  <c:v>Modern Indian</c:v>
                </c:pt>
                <c:pt idx="5">
                  <c:v>Mediterranean</c:v>
                </c:pt>
                <c:pt idx="6">
                  <c:v>Goan</c:v>
                </c:pt>
                <c:pt idx="7">
                  <c:v>Lebanese</c:v>
                </c:pt>
              </c:strCache>
            </c:strRef>
          </c:cat>
          <c:val>
            <c:numRef>
              <c:f>Cuisine_Analysis!$Q$26:$Q$33</c:f>
              <c:numCache>
                <c:formatCode>General</c:formatCode>
                <c:ptCount val="8"/>
                <c:pt idx="0">
                  <c:v>-39</c:v>
                </c:pt>
                <c:pt idx="1">
                  <c:v>-39</c:v>
                </c:pt>
                <c:pt idx="2">
                  <c:v>-38</c:v>
                </c:pt>
                <c:pt idx="3">
                  <c:v>-37</c:v>
                </c:pt>
                <c:pt idx="4">
                  <c:v>37</c:v>
                </c:pt>
                <c:pt idx="5">
                  <c:v>37</c:v>
                </c:pt>
                <c:pt idx="6">
                  <c:v>39</c:v>
                </c:pt>
                <c:pt idx="7">
                  <c:v>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DC-0240-A5E2-D76FC423EE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-50"/>
        <c:axId val="1915039552"/>
        <c:axId val="1915029248"/>
      </c:barChart>
      <c:catAx>
        <c:axId val="1915039552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0">
                    <a:schemeClr val="dk1">
                      <a:lumMod val="65000"/>
                      <a:lumOff val="35000"/>
                    </a:schemeClr>
                  </a:gs>
                  <a:gs pos="100000">
                    <a:schemeClr val="dk1">
                      <a:lumMod val="75000"/>
                      <a:lumOff val="25000"/>
                    </a:schemeClr>
                  </a:gs>
                </a:gsLst>
                <a:lin ang="108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5029248"/>
        <c:crosses val="autoZero"/>
        <c:auto val="1"/>
        <c:lblAlgn val="ctr"/>
        <c:lblOffset val="100"/>
        <c:noMultiLvlLbl val="0"/>
      </c:catAx>
      <c:valAx>
        <c:axId val="191502924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0">
                    <a:schemeClr val="dk1">
                      <a:lumMod val="65000"/>
                      <a:lumOff val="35000"/>
                    </a:schemeClr>
                  </a:gs>
                  <a:gs pos="100000">
                    <a:schemeClr val="dk1">
                      <a:lumMod val="75000"/>
                      <a:lumOff val="25000"/>
                    </a:schemeClr>
                  </a:gs>
                </a:gsLst>
                <a:lin ang="108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50395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Service Segment Performance vs Platform Average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Service_Adoption!$AC$13</c:f>
              <c:strCache>
                <c:ptCount val="1"/>
                <c:pt idx="0">
                  <c:v>Avg_rating</c:v>
                </c:pt>
              </c:strCache>
            </c:strRef>
          </c:tx>
          <c:spPr>
            <a:solidFill>
              <a:schemeClr val="tx2">
                <a:lumMod val="25000"/>
                <a:lumOff val="75000"/>
              </a:schemeClr>
            </a:solidFill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Service_Adoption!$AB$14:$AB$18</c:f>
              <c:strCache>
                <c:ptCount val="5"/>
                <c:pt idx="0">
                  <c:v>Both Services</c:v>
                </c:pt>
                <c:pt idx="1">
                  <c:v>Online Only</c:v>
                </c:pt>
                <c:pt idx="2">
                  <c:v>Table Only</c:v>
                </c:pt>
                <c:pt idx="3">
                  <c:v>Neither</c:v>
                </c:pt>
                <c:pt idx="4">
                  <c:v>Platform Average</c:v>
                </c:pt>
              </c:strCache>
            </c:strRef>
          </c:cat>
          <c:val>
            <c:numRef>
              <c:f>Service_Adoption!$AC$14:$AC$18</c:f>
              <c:numCache>
                <c:formatCode>0.00</c:formatCode>
                <c:ptCount val="5"/>
                <c:pt idx="0">
                  <c:v>4.13</c:v>
                </c:pt>
                <c:pt idx="1">
                  <c:v>3.65</c:v>
                </c:pt>
                <c:pt idx="2">
                  <c:v>4.16</c:v>
                </c:pt>
                <c:pt idx="3">
                  <c:v>3.56</c:v>
                </c:pt>
                <c:pt idx="4">
                  <c:v>3.7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DE-604F-AD3F-38AA887161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5"/>
        <c:overlap val="-40"/>
        <c:axId val="1840404160"/>
        <c:axId val="1840407744"/>
      </c:barChart>
      <c:barChart>
        <c:barDir val="col"/>
        <c:grouping val="clustered"/>
        <c:varyColors val="0"/>
        <c:ser>
          <c:idx val="1"/>
          <c:order val="1"/>
          <c:tx>
            <c:strRef>
              <c:f>Service_Adoption!$AD$13</c:f>
              <c:strCache>
                <c:ptCount val="1"/>
                <c:pt idx="0">
                  <c:v>Quality_score_pct (%)</c:v>
                </c:pt>
              </c:strCache>
            </c:strRef>
          </c:tx>
          <c:spPr>
            <a:solidFill>
              <a:srgbClr val="FF0000"/>
            </a:solidFill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Service_Adoption!$AB$14:$AB$18</c:f>
              <c:strCache>
                <c:ptCount val="5"/>
                <c:pt idx="0">
                  <c:v>Both Services</c:v>
                </c:pt>
                <c:pt idx="1">
                  <c:v>Online Only</c:v>
                </c:pt>
                <c:pt idx="2">
                  <c:v>Table Only</c:v>
                </c:pt>
                <c:pt idx="3">
                  <c:v>Neither</c:v>
                </c:pt>
                <c:pt idx="4">
                  <c:v>Platform Average</c:v>
                </c:pt>
              </c:strCache>
            </c:strRef>
          </c:cat>
          <c:val>
            <c:numRef>
              <c:f>Service_Adoption!$AD$14:$AD$18</c:f>
              <c:numCache>
                <c:formatCode>General</c:formatCode>
                <c:ptCount val="5"/>
                <c:pt idx="0">
                  <c:v>98.1</c:v>
                </c:pt>
                <c:pt idx="1">
                  <c:v>71.8</c:v>
                </c:pt>
                <c:pt idx="2">
                  <c:v>98.8</c:v>
                </c:pt>
                <c:pt idx="3">
                  <c:v>59.5</c:v>
                </c:pt>
                <c:pt idx="4">
                  <c:v>72.5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0DE-604F-AD3F-38AA887161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5"/>
        <c:overlap val="-40"/>
        <c:axId val="1845296448"/>
        <c:axId val="1845292864"/>
      </c:barChart>
      <c:catAx>
        <c:axId val="184040416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0407744"/>
        <c:crosses val="autoZero"/>
        <c:auto val="1"/>
        <c:lblAlgn val="ctr"/>
        <c:lblOffset val="100"/>
        <c:noMultiLvlLbl val="0"/>
      </c:catAx>
      <c:valAx>
        <c:axId val="1840407744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0404160"/>
        <c:crosses val="autoZero"/>
        <c:crossBetween val="between"/>
      </c:valAx>
      <c:valAx>
        <c:axId val="1845292864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5296448"/>
        <c:crosses val="max"/>
        <c:crossBetween val="between"/>
      </c:valAx>
      <c:catAx>
        <c:axId val="184529644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845292864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39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dk1">
                <a:lumMod val="65000"/>
                <a:lumOff val="35000"/>
              </a:schemeClr>
            </a:gs>
            <a:gs pos="100000">
              <a:schemeClr val="dk1">
                <a:lumMod val="75000"/>
                <a:lumOff val="25000"/>
              </a:schemeClr>
            </a:gs>
          </a:gsLst>
          <a:lin ang="10800000" scaled="0"/>
        </a:gradFill>
        <a:round/>
      </a:ln>
      <a:effectLst/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39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dk1">
                <a:lumMod val="65000"/>
                <a:lumOff val="35000"/>
              </a:schemeClr>
            </a:gs>
            <a:gs pos="100000">
              <a:schemeClr val="dk1">
                <a:lumMod val="75000"/>
                <a:lumOff val="25000"/>
              </a:schemeClr>
            </a:gs>
          </a:gsLst>
          <a:lin ang="10800000" scaled="0"/>
        </a:gradFill>
        <a:round/>
      </a:ln>
      <a:effectLst/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145420</xdr:colOff>
      <xdr:row>1</xdr:row>
      <xdr:rowOff>155115</xdr:rowOff>
    </xdr:from>
    <xdr:ext cx="6350000" cy="339313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E4E8757-2331-8A27-C95F-0486AC6E1BCB}"/>
            </a:ext>
          </a:extLst>
        </xdr:cNvPr>
        <xdr:cNvSpPr txBox="1"/>
      </xdr:nvSpPr>
      <xdr:spPr>
        <a:xfrm>
          <a:off x="145420" y="455649"/>
          <a:ext cx="6350000" cy="339313"/>
        </a:xfrm>
        <a:prstGeom prst="rect">
          <a:avLst/>
        </a:prstGeom>
        <a:solidFill>
          <a:schemeClr val="tx2">
            <a:lumMod val="90000"/>
            <a:lumOff val="1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lang="en-IN" sz="1400" b="1" i="1">
              <a:solidFill>
                <a:schemeClr val="bg1"/>
              </a:solidFill>
            </a:rPr>
            <a:t>Zomato Bangalore Restaurant Analysis — Executive Summary</a:t>
          </a:r>
          <a:endParaRPr lang="en-GB" sz="1400" b="1" i="1">
            <a:solidFill>
              <a:schemeClr val="bg1"/>
            </a:solidFill>
          </a:endParaRP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6350</xdr:colOff>
      <xdr:row>11</xdr:row>
      <xdr:rowOff>6350</xdr:rowOff>
    </xdr:from>
    <xdr:to>
      <xdr:col>22</xdr:col>
      <xdr:colOff>12700</xdr:colOff>
      <xdr:row>29</xdr:row>
      <xdr:rowOff>12700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B232202-DD83-9C65-0B80-83B3ED7E7F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36</xdr:col>
      <xdr:colOff>5080</xdr:colOff>
      <xdr:row>3</xdr:row>
      <xdr:rowOff>10164</xdr:rowOff>
    </xdr:from>
    <xdr:to>
      <xdr:col>46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9A17EDC-FB52-4D2F-B862-E67AA0E41A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9321</xdr:colOff>
      <xdr:row>24</xdr:row>
      <xdr:rowOff>3262</xdr:rowOff>
    </xdr:from>
    <xdr:to>
      <xdr:col>26</xdr:col>
      <xdr:colOff>1270000</xdr:colOff>
      <xdr:row>48</xdr:row>
      <xdr:rowOff>23303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A0605BE-6CA7-6B9F-B895-1ACAA1EF30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1270</xdr:colOff>
      <xdr:row>12</xdr:row>
      <xdr:rowOff>3810</xdr:rowOff>
    </xdr:from>
    <xdr:to>
      <xdr:col>38</xdr:col>
      <xdr:colOff>12700</xdr:colOff>
      <xdr:row>36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7BC4AD7-2266-6488-5E03-252F02E8BA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3_vote_buckets" connectionId="9" xr16:uid="{02F1A038-1D0E-E649-B998-8F4D60B197BE}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2_rating_tier_crosstab" connectionId="8" xr16:uid="{B20B46DF-958C-CB46-A242-F5BE1C127D47}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1_credible_restaurants" connectionId="1" xr16:uid="{397DE7F3-CBE5-F142-B371-1C25555AE760}" autoFormatId="16" applyNumberFormats="0" applyBorderFormats="0" applyFontFormats="1" applyPatternFormats="1" applyAlignmentFormats="0" applyWidthHeightFormats="0"/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6_digital_adoption" connectionId="12" xr16:uid="{0376BE5D-093F-9048-878C-955D28A14A79}" autoFormatId="16" applyNumberFormats="0" applyBorderFormats="0" applyFontFormats="1" applyPatternFormats="1" applyAlignmentFormats="0" applyWidthHeightFormats="0"/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5_value_locations" connectionId="11" xr16:uid="{D3ADC20E-0792-1041-A6B5-EB826DBE0884}" autoFormatId="16" applyNumberFormats="0" applyBorderFormats="0" applyFontFormats="1" applyPatternFormats="1" applyAlignmentFormats="0" applyWidthHeightFormats="0"/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4_location_leaderboard" connectionId="10" xr16:uid="{882B7BAC-E0C4-A04B-BD9E-1DB6F4E3E415}" autoFormatId="16" applyNumberFormats="0" applyBorderFormats="0" applyFontFormats="1" applyPatternFormats="1" applyAlignmentFormats="0" applyWidthHeightFormats="0"/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8b_cuisine_quality" connectionId="16" xr16:uid="{2CEE37C1-34F6-E54D-8A07-462BCFFBED58}" autoFormatId="16" applyNumberFormats="0" applyBorderFormats="0" applyFontFormats="1" applyPatternFormats="1" applyAlignmentFormats="0" applyWidthHeightFormats="0"/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8a_cuisine_popularity" connectionId="15" xr16:uid="{F2174765-2E0E-034A-9EEB-D780E4BC05BC}" autoFormatId="16" applyNumberFormats="0" applyBorderFormats="0" applyFontFormats="1" applyPatternFormats="1" applyAlignmentFormats="0" applyWidthHeightFormats="0"/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7b_cuisine_dominance_summary" connectionId="14" xr16:uid="{C3E6993E-0829-DA45-83DD-8A3098618FC6}" autoFormatId="16" applyNumberFormats="0" applyBorderFormats="0" applyFontFormats="1" applyPatternFormats="1" applyAlignmentFormats="0" applyWidthHeightFormats="0"/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7a_dominant_cuisine_per_location" connectionId="13" xr16:uid="{D4C4F899-A99B-7D42-9735-4FE7D7E4DD40}" autoFormatId="16" applyNumberFormats="0" applyBorderFormats="0" applyFontFormats="1" applyPatternFormats="1" applyAlignmentFormats="0" applyWidthHeightFormats="0"/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10b_gem_rarity" connectionId="3" xr16:uid="{61E06A93-6318-4F43-9297-0EA5A392BF3D}" autoFormatId="16" applyNumberFormats="0" applyBorderFormats="0" applyFontFormats="1" applyPatternFormats="1" applyAlignmentFormats="0" applyWidthHeightFormats="0"/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10a_hidden_gems" connectionId="2" xr16:uid="{336A2A28-888C-BF42-BD1B-AEF2EC695251}" autoFormatId="16" applyNumberFormats="0" applyBorderFormats="0" applyFontFormats="1" applyPatternFormats="1" applyAlignmentFormats="0" applyWidthHeightFormats="0"/>
</file>

<file path=xl/queryTables/queryTable1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9_price_tier_performance" connectionId="17" xr16:uid="{9304B10E-87D1-0545-9FC4-FAC4D0DED3B2}" autoFormatId="16" applyNumberFormats="0" applyBorderFormats="0" applyFontFormats="1" applyPatternFormats="1" applyAlignmentFormats="0" applyWidthHeightFormats="0"/>
</file>

<file path=xl/queryTables/queryTable1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12b_service_by_tier" connectionId="7" xr16:uid="{D11FC3B6-46B0-9040-AB01-B078367720EF}" autoFormatId="16" applyNumberFormats="0" applyBorderFormats="0" applyFontFormats="1" applyPatternFormats="1" applyAlignmentFormats="0" applyWidthHeightFormats="0"/>
</file>

<file path=xl/queryTables/queryTable1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12a_service_segments" connectionId="6" xr16:uid="{4704485E-6666-2949-9B55-8CB454DE4AAA}" autoFormatId="16" applyNumberFormats="0" applyBorderFormats="0" applyFontFormats="1" applyPatternFormats="1" applyAlignmentFormats="0" applyWidthHeightFormats="0"/>
</file>

<file path=xl/queryTables/queryTable1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11b_tier_composition" connectionId="5" xr16:uid="{64479B0E-F233-5241-B674-8669E1855D53}" autoFormatId="16" applyNumberFormats="0" applyBorderFormats="0" applyFontFormats="1" applyPatternFormats="1" applyAlignmentFormats="0" applyWidthHeightFormats="0"/>
</file>

<file path=xl/queryTables/queryTable1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11a_online_vs_dinein" connectionId="4" xr16:uid="{0F6DB886-D1B6-AA4E-B689-2D33906D8597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drawing" Target="../drawings/drawing2.xml"/><Relationship Id="rId4" Type="http://schemas.openxmlformats.org/officeDocument/2006/relationships/queryTable" Target="../queryTables/queryTable3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5.xml"/><Relationship Id="rId2" Type="http://schemas.openxmlformats.org/officeDocument/2006/relationships/queryTable" Target="../queryTables/queryTable4.xml"/><Relationship Id="rId1" Type="http://schemas.openxmlformats.org/officeDocument/2006/relationships/drawing" Target="../drawings/drawing3.xml"/><Relationship Id="rId4" Type="http://schemas.openxmlformats.org/officeDocument/2006/relationships/queryTable" Target="../queryTables/queryTable6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8.xml"/><Relationship Id="rId2" Type="http://schemas.openxmlformats.org/officeDocument/2006/relationships/queryTable" Target="../queryTables/queryTable7.xml"/><Relationship Id="rId1" Type="http://schemas.openxmlformats.org/officeDocument/2006/relationships/drawing" Target="../drawings/drawing4.xml"/><Relationship Id="rId5" Type="http://schemas.openxmlformats.org/officeDocument/2006/relationships/queryTable" Target="../queryTables/queryTable10.xml"/><Relationship Id="rId4" Type="http://schemas.openxmlformats.org/officeDocument/2006/relationships/queryTable" Target="../queryTables/queryTable9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13.xml"/><Relationship Id="rId2" Type="http://schemas.openxmlformats.org/officeDocument/2006/relationships/queryTable" Target="../queryTables/queryTable12.xml"/><Relationship Id="rId1" Type="http://schemas.openxmlformats.org/officeDocument/2006/relationships/queryTable" Target="../queryTables/queryTable1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15.xml"/><Relationship Id="rId2" Type="http://schemas.openxmlformats.org/officeDocument/2006/relationships/queryTable" Target="../queryTables/queryTable14.xml"/><Relationship Id="rId1" Type="http://schemas.openxmlformats.org/officeDocument/2006/relationships/drawing" Target="../drawings/drawing5.xml"/><Relationship Id="rId5" Type="http://schemas.openxmlformats.org/officeDocument/2006/relationships/queryTable" Target="../queryTables/queryTable17.xml"/><Relationship Id="rId4" Type="http://schemas.openxmlformats.org/officeDocument/2006/relationships/queryTable" Target="../queryTables/queryTable1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F7F3F-3008-0146-90FF-F4F3E9675060}">
  <dimension ref="A1:Z19"/>
  <sheetViews>
    <sheetView tabSelected="1" zoomScale="131" zoomScaleNormal="131" workbookViewId="0">
      <selection activeCell="L22" sqref="L22"/>
    </sheetView>
  </sheetViews>
  <sheetFormatPr baseColWidth="10" defaultRowHeight="16" x14ac:dyDescent="0.2"/>
  <cols>
    <col min="12" max="12" width="8" bestFit="1" customWidth="1"/>
  </cols>
  <sheetData>
    <row r="1" spans="1:26" ht="24" x14ac:dyDescent="0.3">
      <c r="A1" s="51" t="s">
        <v>263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</row>
    <row r="5" spans="1:26" x14ac:dyDescent="0.2">
      <c r="A5" s="57" t="s">
        <v>264</v>
      </c>
      <c r="B5" s="57"/>
      <c r="C5" s="58" t="s">
        <v>265</v>
      </c>
      <c r="D5" s="58"/>
      <c r="E5" s="59" t="s">
        <v>269</v>
      </c>
      <c r="F5" s="59"/>
      <c r="G5" s="58" t="s">
        <v>266</v>
      </c>
      <c r="H5" s="58"/>
      <c r="I5" s="53"/>
    </row>
    <row r="6" spans="1:26" ht="32" x14ac:dyDescent="0.4">
      <c r="A6" s="60">
        <v>51042</v>
      </c>
      <c r="B6" s="60"/>
      <c r="C6" s="61">
        <v>3.7</v>
      </c>
      <c r="D6" s="61"/>
      <c r="E6" s="62">
        <v>556</v>
      </c>
      <c r="F6" s="62"/>
      <c r="G6" s="54">
        <v>93</v>
      </c>
      <c r="H6" s="54"/>
      <c r="I6" s="53"/>
    </row>
    <row r="7" spans="1:26" x14ac:dyDescent="0.2">
      <c r="A7" s="53"/>
      <c r="B7" s="53"/>
      <c r="C7" s="53"/>
      <c r="D7" s="53"/>
      <c r="E7" s="3"/>
      <c r="F7" s="53"/>
      <c r="G7" s="53"/>
      <c r="H7" s="53"/>
      <c r="I7" s="53"/>
    </row>
    <row r="8" spans="1:26" x14ac:dyDescent="0.2">
      <c r="A8" s="58" t="s">
        <v>124</v>
      </c>
      <c r="B8" s="58"/>
      <c r="C8" s="58" t="s">
        <v>270</v>
      </c>
      <c r="D8" s="58"/>
      <c r="E8" s="59" t="s">
        <v>267</v>
      </c>
      <c r="F8" s="59"/>
      <c r="G8" s="58" t="s">
        <v>268</v>
      </c>
      <c r="H8" s="58"/>
      <c r="I8" s="53"/>
    </row>
    <row r="9" spans="1:26" ht="32" x14ac:dyDescent="0.4">
      <c r="A9" s="56">
        <v>0.60499999999999998</v>
      </c>
      <c r="B9" s="55"/>
      <c r="C9" s="56">
        <v>0.125</v>
      </c>
      <c r="D9" s="55"/>
      <c r="E9" s="55">
        <v>87</v>
      </c>
      <c r="F9" s="55"/>
      <c r="G9" s="56">
        <v>0.193</v>
      </c>
      <c r="H9" s="55"/>
    </row>
    <row r="12" spans="1:26" ht="19" x14ac:dyDescent="0.25">
      <c r="A12" s="52" t="s">
        <v>271</v>
      </c>
      <c r="B12" s="52"/>
      <c r="C12" s="52"/>
      <c r="D12" s="52"/>
      <c r="E12" s="52"/>
      <c r="F12" s="52"/>
      <c r="G12" s="52"/>
      <c r="H12" s="52"/>
      <c r="I12" s="52"/>
      <c r="J12" s="52"/>
      <c r="K12" s="52"/>
      <c r="L12" s="52"/>
    </row>
    <row r="14" spans="1:26" ht="19" x14ac:dyDescent="0.25">
      <c r="A14" s="76" t="s">
        <v>272</v>
      </c>
      <c r="B14" s="77"/>
      <c r="C14" s="77" t="s">
        <v>274</v>
      </c>
      <c r="D14" s="77"/>
      <c r="E14" s="77"/>
      <c r="F14" s="77"/>
      <c r="G14" s="77"/>
      <c r="H14" s="77"/>
      <c r="I14" s="77" t="s">
        <v>275</v>
      </c>
      <c r="J14" s="77"/>
      <c r="K14" s="77"/>
      <c r="L14" s="78" t="s">
        <v>273</v>
      </c>
    </row>
    <row r="15" spans="1:26" x14ac:dyDescent="0.2">
      <c r="A15" s="63" t="s">
        <v>276</v>
      </c>
      <c r="B15" s="64"/>
      <c r="C15" s="65" t="s">
        <v>280</v>
      </c>
      <c r="D15" s="65"/>
      <c r="E15" s="65"/>
      <c r="F15" s="65"/>
      <c r="G15" s="65"/>
      <c r="H15" s="65"/>
      <c r="I15" s="66" t="s">
        <v>285</v>
      </c>
      <c r="J15" s="66"/>
      <c r="K15" s="66"/>
      <c r="L15" s="12" t="s">
        <v>290</v>
      </c>
    </row>
    <row r="16" spans="1:26" x14ac:dyDescent="0.2">
      <c r="A16" s="71" t="s">
        <v>133</v>
      </c>
      <c r="B16" s="72"/>
      <c r="C16" s="73" t="s">
        <v>281</v>
      </c>
      <c r="D16" s="73"/>
      <c r="E16" s="73"/>
      <c r="F16" s="73"/>
      <c r="G16" s="73"/>
      <c r="H16" s="73"/>
      <c r="I16" s="74" t="s">
        <v>286</v>
      </c>
      <c r="J16" s="74"/>
      <c r="K16" s="74"/>
      <c r="L16" s="75" t="s">
        <v>291</v>
      </c>
    </row>
    <row r="17" spans="1:12" x14ac:dyDescent="0.2">
      <c r="A17" s="63" t="s">
        <v>277</v>
      </c>
      <c r="B17" s="64"/>
      <c r="C17" s="65" t="s">
        <v>282</v>
      </c>
      <c r="D17" s="65"/>
      <c r="E17" s="65"/>
      <c r="F17" s="65"/>
      <c r="G17" s="65"/>
      <c r="H17" s="65"/>
      <c r="I17" s="66" t="s">
        <v>287</v>
      </c>
      <c r="J17" s="66"/>
      <c r="K17" s="66"/>
      <c r="L17" s="12" t="s">
        <v>292</v>
      </c>
    </row>
    <row r="18" spans="1:12" x14ac:dyDescent="0.2">
      <c r="A18" s="71" t="s">
        <v>278</v>
      </c>
      <c r="B18" s="72"/>
      <c r="C18" s="73" t="s">
        <v>283</v>
      </c>
      <c r="D18" s="73"/>
      <c r="E18" s="73"/>
      <c r="F18" s="73"/>
      <c r="G18" s="73"/>
      <c r="H18" s="73"/>
      <c r="I18" s="74" t="s">
        <v>288</v>
      </c>
      <c r="J18" s="74"/>
      <c r="K18" s="74"/>
      <c r="L18" s="75" t="s">
        <v>293</v>
      </c>
    </row>
    <row r="19" spans="1:12" x14ac:dyDescent="0.2">
      <c r="A19" s="67" t="s">
        <v>279</v>
      </c>
      <c r="B19" s="68"/>
      <c r="C19" s="69" t="s">
        <v>284</v>
      </c>
      <c r="D19" s="69"/>
      <c r="E19" s="69"/>
      <c r="F19" s="69"/>
      <c r="G19" s="69"/>
      <c r="H19" s="69"/>
      <c r="I19" s="70" t="s">
        <v>289</v>
      </c>
      <c r="J19" s="70"/>
      <c r="K19" s="70"/>
      <c r="L19" s="15" t="s">
        <v>294</v>
      </c>
    </row>
  </sheetData>
  <mergeCells count="36">
    <mergeCell ref="C19:H19"/>
    <mergeCell ref="I14:K14"/>
    <mergeCell ref="I15:K15"/>
    <mergeCell ref="I16:K16"/>
    <mergeCell ref="I17:K17"/>
    <mergeCell ref="I18:K18"/>
    <mergeCell ref="I19:K19"/>
    <mergeCell ref="C15:H15"/>
    <mergeCell ref="C16:H16"/>
    <mergeCell ref="C17:H17"/>
    <mergeCell ref="C18:H18"/>
    <mergeCell ref="A15:B15"/>
    <mergeCell ref="A16:B16"/>
    <mergeCell ref="A17:B17"/>
    <mergeCell ref="A18:B18"/>
    <mergeCell ref="A19:B19"/>
    <mergeCell ref="E9:F9"/>
    <mergeCell ref="G9:H9"/>
    <mergeCell ref="A14:B14"/>
    <mergeCell ref="C14:H14"/>
    <mergeCell ref="E6:F6"/>
    <mergeCell ref="G6:H6"/>
    <mergeCell ref="A8:B8"/>
    <mergeCell ref="C8:D8"/>
    <mergeCell ref="E8:F8"/>
    <mergeCell ref="G8:H8"/>
    <mergeCell ref="A5:B5"/>
    <mergeCell ref="C5:D5"/>
    <mergeCell ref="A6:B6"/>
    <mergeCell ref="C6:D6"/>
    <mergeCell ref="A9:B9"/>
    <mergeCell ref="C9:D9"/>
    <mergeCell ref="A12:L12"/>
    <mergeCell ref="A1:Z1"/>
    <mergeCell ref="E5:F5"/>
    <mergeCell ref="G5:H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8DB81-4E7A-1942-AB43-1B583F7C0EC1}">
  <dimension ref="A1:AQ13"/>
  <sheetViews>
    <sheetView topLeftCell="AE1" zoomScaleNormal="100" workbookViewId="0">
      <pane ySplit="3" topLeftCell="A4" activePane="bottomLeft" state="frozen"/>
      <selection pane="bottomLeft" activeCell="G28" sqref="G28"/>
    </sheetView>
  </sheetViews>
  <sheetFormatPr baseColWidth="10" defaultRowHeight="16" x14ac:dyDescent="0.2"/>
  <cols>
    <col min="1" max="1" width="25.83203125" bestFit="1" customWidth="1"/>
    <col min="2" max="2" width="19.83203125" bestFit="1" customWidth="1"/>
    <col min="3" max="3" width="17.6640625" bestFit="1" customWidth="1"/>
    <col min="4" max="4" width="17.1640625" bestFit="1" customWidth="1"/>
    <col min="5" max="5" width="5.83203125" bestFit="1" customWidth="1"/>
    <col min="6" max="6" width="6.83203125" bestFit="1" customWidth="1"/>
    <col min="7" max="7" width="13.83203125" bestFit="1" customWidth="1"/>
    <col min="8" max="8" width="16.1640625" bestFit="1" customWidth="1"/>
    <col min="9" max="9" width="14.5" bestFit="1" customWidth="1"/>
    <col min="10" max="10" width="12.5" bestFit="1" customWidth="1"/>
    <col min="11" max="11" width="18.6640625" bestFit="1" customWidth="1"/>
    <col min="12" max="12" width="10.83203125" style="2"/>
    <col min="14" max="14" width="15.5" bestFit="1" customWidth="1"/>
    <col min="15" max="15" width="22.33203125" bestFit="1" customWidth="1"/>
    <col min="16" max="16" width="9.6640625" bestFit="1" customWidth="1"/>
    <col min="17" max="17" width="17" bestFit="1" customWidth="1"/>
    <col min="18" max="18" width="17.83203125" bestFit="1" customWidth="1"/>
    <col min="19" max="19" width="13.1640625" bestFit="1" customWidth="1"/>
    <col min="20" max="20" width="13.83203125" bestFit="1" customWidth="1"/>
    <col min="21" max="21" width="15.6640625" bestFit="1" customWidth="1"/>
    <col min="22" max="22" width="16.6640625" bestFit="1" customWidth="1"/>
    <col min="23" max="23" width="12.33203125" bestFit="1" customWidth="1"/>
    <col min="24" max="24" width="13.33203125" bestFit="1" customWidth="1"/>
    <col min="25" max="25" width="15.83203125" bestFit="1" customWidth="1"/>
    <col min="26" max="26" width="16.6640625" bestFit="1" customWidth="1"/>
    <col min="27" max="27" width="22.33203125" bestFit="1" customWidth="1"/>
    <col min="28" max="28" width="13" bestFit="1" customWidth="1"/>
    <col min="29" max="29" width="13.83203125" bestFit="1" customWidth="1"/>
    <col min="30" max="30" width="15.33203125" bestFit="1" customWidth="1"/>
    <col min="31" max="31" width="14" bestFit="1" customWidth="1"/>
    <col min="32" max="32" width="10.83203125" style="2"/>
    <col min="34" max="34" width="19.6640625" bestFit="1" customWidth="1"/>
    <col min="35" max="35" width="18.5" bestFit="1" customWidth="1"/>
    <col min="36" max="36" width="11" bestFit="1" customWidth="1"/>
    <col min="37" max="37" width="11.33203125" bestFit="1" customWidth="1"/>
    <col min="38" max="38" width="15.83203125" bestFit="1" customWidth="1"/>
    <col min="39" max="39" width="16.6640625" bestFit="1" customWidth="1"/>
    <col min="40" max="40" width="22.33203125" bestFit="1" customWidth="1"/>
    <col min="41" max="41" width="11.5" bestFit="1" customWidth="1"/>
    <col min="42" max="42" width="11.83203125" bestFit="1" customWidth="1"/>
    <col min="43" max="43" width="10.83203125" style="2"/>
  </cols>
  <sheetData>
    <row r="1" spans="1:42" ht="19" x14ac:dyDescent="0.25">
      <c r="A1" s="1" t="s">
        <v>27</v>
      </c>
      <c r="B1" s="1"/>
      <c r="C1" s="1"/>
      <c r="D1" s="1"/>
      <c r="E1" s="1"/>
      <c r="F1" s="1"/>
      <c r="G1" s="1"/>
      <c r="H1" s="1"/>
      <c r="I1" s="1"/>
      <c r="J1" s="1"/>
      <c r="K1" s="1"/>
      <c r="N1" s="1" t="s">
        <v>30</v>
      </c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22"/>
      <c r="AC1" s="22"/>
      <c r="AD1" s="22"/>
      <c r="AE1" s="22"/>
      <c r="AH1" s="1" t="s">
        <v>31</v>
      </c>
      <c r="AI1" s="1"/>
      <c r="AJ1" s="1"/>
      <c r="AK1" s="1"/>
      <c r="AL1" s="1"/>
      <c r="AM1" s="1"/>
      <c r="AN1" s="1"/>
      <c r="AO1" s="1"/>
      <c r="AP1" s="1"/>
    </row>
    <row r="3" spans="1:42" ht="19" x14ac:dyDescent="0.25">
      <c r="A3" s="7" t="s">
        <v>132</v>
      </c>
      <c r="B3" s="8" t="s">
        <v>133</v>
      </c>
      <c r="C3" s="8" t="s">
        <v>134</v>
      </c>
      <c r="D3" s="8" t="s">
        <v>135</v>
      </c>
      <c r="E3" s="8" t="s">
        <v>137</v>
      </c>
      <c r="F3" s="8" t="s">
        <v>136</v>
      </c>
      <c r="G3" s="8" t="s">
        <v>138</v>
      </c>
      <c r="H3" s="8" t="s">
        <v>139</v>
      </c>
      <c r="I3" s="8" t="s">
        <v>140</v>
      </c>
      <c r="J3" s="8" t="s">
        <v>141</v>
      </c>
      <c r="K3" s="9" t="s">
        <v>142</v>
      </c>
      <c r="N3" s="7" t="s">
        <v>143</v>
      </c>
      <c r="O3" s="8" t="s">
        <v>144</v>
      </c>
      <c r="P3" s="8" t="s">
        <v>145</v>
      </c>
      <c r="Q3" s="8" t="s">
        <v>146</v>
      </c>
      <c r="R3" s="8" t="s">
        <v>225</v>
      </c>
      <c r="S3" s="8" t="s">
        <v>147</v>
      </c>
      <c r="T3" s="8" t="s">
        <v>226</v>
      </c>
      <c r="U3" s="8" t="s">
        <v>148</v>
      </c>
      <c r="V3" s="8" t="s">
        <v>227</v>
      </c>
      <c r="W3" s="8" t="s">
        <v>149</v>
      </c>
      <c r="X3" s="8" t="s">
        <v>228</v>
      </c>
      <c r="Y3" s="8" t="s">
        <v>150</v>
      </c>
      <c r="Z3" s="8" t="s">
        <v>223</v>
      </c>
      <c r="AA3" s="8" t="s">
        <v>224</v>
      </c>
      <c r="AB3" s="8" t="s">
        <v>218</v>
      </c>
      <c r="AC3" s="8" t="s">
        <v>221</v>
      </c>
      <c r="AD3" s="8" t="s">
        <v>220</v>
      </c>
      <c r="AE3" s="9" t="s">
        <v>219</v>
      </c>
      <c r="AH3" s="7" t="s">
        <v>157</v>
      </c>
      <c r="AI3" s="8" t="s">
        <v>158</v>
      </c>
      <c r="AJ3" s="8" t="s">
        <v>159</v>
      </c>
      <c r="AK3" s="8" t="s">
        <v>160</v>
      </c>
      <c r="AL3" s="8" t="s">
        <v>150</v>
      </c>
      <c r="AM3" s="8" t="s">
        <v>223</v>
      </c>
      <c r="AN3" s="8" t="s">
        <v>224</v>
      </c>
      <c r="AO3" s="8" t="s">
        <v>161</v>
      </c>
      <c r="AP3" s="9" t="s">
        <v>162</v>
      </c>
    </row>
    <row r="4" spans="1:42" x14ac:dyDescent="0.2">
      <c r="A4" s="10" t="s">
        <v>0</v>
      </c>
      <c r="B4" s="11" t="s">
        <v>1</v>
      </c>
      <c r="C4" s="11" t="s">
        <v>2</v>
      </c>
      <c r="D4" s="11" t="s">
        <v>3</v>
      </c>
      <c r="E4" s="29">
        <v>4.9000000000000004</v>
      </c>
      <c r="F4" s="11">
        <v>16832</v>
      </c>
      <c r="G4" s="23">
        <v>1600</v>
      </c>
      <c r="H4" s="11" t="s">
        <v>4</v>
      </c>
      <c r="I4" s="11">
        <v>1</v>
      </c>
      <c r="J4" s="11">
        <v>1</v>
      </c>
      <c r="K4" s="12">
        <v>20.71</v>
      </c>
      <c r="N4" s="16" t="s">
        <v>28</v>
      </c>
      <c r="O4" s="27">
        <v>26699</v>
      </c>
      <c r="P4" s="17">
        <v>3.58</v>
      </c>
      <c r="Q4" s="27">
        <v>1711</v>
      </c>
      <c r="R4" s="17">
        <v>6.4</v>
      </c>
      <c r="S4" s="27">
        <v>10447</v>
      </c>
      <c r="T4" s="17">
        <v>39.1</v>
      </c>
      <c r="U4" s="27">
        <v>6114</v>
      </c>
      <c r="V4" s="17">
        <v>22.9</v>
      </c>
      <c r="W4" s="27">
        <v>853</v>
      </c>
      <c r="X4" s="17">
        <v>3.2</v>
      </c>
      <c r="Y4" s="17">
        <v>7574</v>
      </c>
      <c r="Z4" s="17">
        <v>28.4</v>
      </c>
      <c r="AA4" s="17">
        <v>63.6</v>
      </c>
      <c r="AB4" s="17" t="s">
        <v>222</v>
      </c>
      <c r="AC4" s="17" t="s">
        <v>222</v>
      </c>
      <c r="AD4" s="17" t="str">
        <f>IF(N4="Budget","Baseline tier",IF(N4="Mid-range","Marginal - avoid","Justified - worth it"))</f>
        <v>Baseline tier</v>
      </c>
      <c r="AE4" s="18" t="str">
        <f>IF(AA4&gt;=85,"Strong signal",IF(AA4&gt;=70,"Moderate signal",IF(AA4&gt;=60,"Weak signal","No signal")))</f>
        <v>Weak signal</v>
      </c>
      <c r="AH4" s="10" t="s">
        <v>151</v>
      </c>
      <c r="AI4" s="25">
        <v>15434</v>
      </c>
      <c r="AJ4" s="11">
        <v>2</v>
      </c>
      <c r="AK4" s="11">
        <v>3.31</v>
      </c>
      <c r="AL4" s="11">
        <v>9824</v>
      </c>
      <c r="AM4" s="11">
        <v>63.7</v>
      </c>
      <c r="AN4" s="11">
        <v>17.600000000000001</v>
      </c>
      <c r="AO4" s="11">
        <v>2.7</v>
      </c>
      <c r="AP4" s="12">
        <v>4.3</v>
      </c>
    </row>
    <row r="5" spans="1:42" x14ac:dyDescent="0.2">
      <c r="A5" s="10" t="s">
        <v>8</v>
      </c>
      <c r="B5" s="11" t="s">
        <v>19</v>
      </c>
      <c r="C5" s="11" t="s">
        <v>10</v>
      </c>
      <c r="D5" s="11" t="s">
        <v>11</v>
      </c>
      <c r="E5" s="29">
        <v>4.9000000000000004</v>
      </c>
      <c r="F5" s="11">
        <v>6490</v>
      </c>
      <c r="G5" s="23">
        <v>1600</v>
      </c>
      <c r="H5" s="11" t="s">
        <v>4</v>
      </c>
      <c r="I5" s="11">
        <v>0</v>
      </c>
      <c r="J5" s="11">
        <v>1</v>
      </c>
      <c r="K5" s="12">
        <v>18.68</v>
      </c>
      <c r="N5" s="16" t="s">
        <v>29</v>
      </c>
      <c r="O5" s="27">
        <v>16533</v>
      </c>
      <c r="P5" s="17">
        <v>3.69</v>
      </c>
      <c r="Q5" s="27">
        <v>3146</v>
      </c>
      <c r="R5" s="17">
        <v>19</v>
      </c>
      <c r="S5" s="27">
        <v>7678</v>
      </c>
      <c r="T5" s="17">
        <v>46.4</v>
      </c>
      <c r="U5" s="27">
        <v>2577</v>
      </c>
      <c r="V5" s="17">
        <v>15.6</v>
      </c>
      <c r="W5" s="27">
        <v>1165</v>
      </c>
      <c r="X5" s="17">
        <v>7</v>
      </c>
      <c r="Y5" s="17">
        <v>1967</v>
      </c>
      <c r="Z5" s="17">
        <v>11.9</v>
      </c>
      <c r="AA5" s="17">
        <v>74.3</v>
      </c>
      <c r="AB5" s="17">
        <f>P5-P4</f>
        <v>0.10999999999999988</v>
      </c>
      <c r="AC5" s="17">
        <f>AA5-AA4</f>
        <v>10.699999999999996</v>
      </c>
      <c r="AD5" s="17" t="str">
        <f t="shared" ref="AD5:AD9" si="0">IF(N5="Budget","Baseline tier",IF(N5="Mid-range","Marginal - avoid","Justified - worth it"))</f>
        <v>Marginal - avoid</v>
      </c>
      <c r="AE5" s="18" t="str">
        <f t="shared" ref="AE5:AE6" si="1">IF(AA5&gt;=85,"Strong signal",IF(AA5&gt;=70,"Moderate signal",IF(AA5&gt;=60,"Weak signal","No signal")))</f>
        <v>Moderate signal</v>
      </c>
      <c r="AH5" s="10" t="s">
        <v>152</v>
      </c>
      <c r="AI5" s="25">
        <v>17467</v>
      </c>
      <c r="AJ5" s="11">
        <v>41</v>
      </c>
      <c r="AK5" s="11">
        <v>3.55</v>
      </c>
      <c r="AL5" s="11">
        <v>2</v>
      </c>
      <c r="AM5" s="11">
        <v>0</v>
      </c>
      <c r="AN5" s="11">
        <v>71.400000000000006</v>
      </c>
      <c r="AO5" s="11">
        <v>2.2000000000000002</v>
      </c>
      <c r="AP5" s="12">
        <v>4.5</v>
      </c>
    </row>
    <row r="6" spans="1:42" x14ac:dyDescent="0.2">
      <c r="A6" s="10" t="s">
        <v>8</v>
      </c>
      <c r="B6" s="11" t="s">
        <v>9</v>
      </c>
      <c r="C6" s="11" t="s">
        <v>10</v>
      </c>
      <c r="D6" s="11" t="s">
        <v>11</v>
      </c>
      <c r="E6" s="29">
        <v>4.8</v>
      </c>
      <c r="F6" s="11">
        <v>12121</v>
      </c>
      <c r="G6" s="23">
        <v>1600</v>
      </c>
      <c r="H6" s="11" t="s">
        <v>4</v>
      </c>
      <c r="I6" s="11">
        <v>0</v>
      </c>
      <c r="J6" s="11">
        <v>1</v>
      </c>
      <c r="K6" s="12">
        <v>19.600000000000001</v>
      </c>
      <c r="N6" s="19" t="s">
        <v>4</v>
      </c>
      <c r="O6" s="28">
        <v>7810</v>
      </c>
      <c r="P6" s="20">
        <v>4.04</v>
      </c>
      <c r="Q6" s="28">
        <v>4269</v>
      </c>
      <c r="R6" s="20">
        <v>54.7</v>
      </c>
      <c r="S6" s="28">
        <v>2630</v>
      </c>
      <c r="T6" s="20">
        <v>33.700000000000003</v>
      </c>
      <c r="U6" s="28">
        <v>403</v>
      </c>
      <c r="V6" s="20">
        <v>5.2</v>
      </c>
      <c r="W6" s="28">
        <v>197</v>
      </c>
      <c r="X6" s="20">
        <v>2.5</v>
      </c>
      <c r="Y6" s="20">
        <v>311</v>
      </c>
      <c r="Z6" s="20">
        <v>4</v>
      </c>
      <c r="AA6" s="20">
        <v>92</v>
      </c>
      <c r="AB6" s="20">
        <f>P6-P5</f>
        <v>0.35000000000000009</v>
      </c>
      <c r="AC6" s="20">
        <f>AA6-AA5</f>
        <v>17.700000000000003</v>
      </c>
      <c r="AD6" s="20" t="str">
        <f t="shared" si="0"/>
        <v>Justified - worth it</v>
      </c>
      <c r="AE6" s="21" t="str">
        <f t="shared" si="1"/>
        <v>Strong signal</v>
      </c>
      <c r="AH6" s="10" t="s">
        <v>153</v>
      </c>
      <c r="AI6" s="25">
        <v>11400</v>
      </c>
      <c r="AJ6" s="11">
        <v>236</v>
      </c>
      <c r="AK6" s="11">
        <v>3.83</v>
      </c>
      <c r="AL6" s="11">
        <v>16</v>
      </c>
      <c r="AM6" s="11">
        <v>0.1</v>
      </c>
      <c r="AN6" s="11">
        <v>86.1</v>
      </c>
      <c r="AO6" s="11">
        <v>1.8</v>
      </c>
      <c r="AP6" s="12">
        <v>4.9000000000000004</v>
      </c>
    </row>
    <row r="7" spans="1:42" x14ac:dyDescent="0.2">
      <c r="A7" s="10" t="s">
        <v>16</v>
      </c>
      <c r="B7" s="11" t="s">
        <v>9</v>
      </c>
      <c r="C7" s="11" t="s">
        <v>17</v>
      </c>
      <c r="D7" s="11" t="s">
        <v>18</v>
      </c>
      <c r="E7" s="29">
        <v>4.8</v>
      </c>
      <c r="F7" s="11">
        <v>7284</v>
      </c>
      <c r="G7" s="23">
        <v>1500</v>
      </c>
      <c r="H7" s="11" t="s">
        <v>4</v>
      </c>
      <c r="I7" s="11">
        <v>0</v>
      </c>
      <c r="J7" s="11">
        <v>1</v>
      </c>
      <c r="K7" s="12">
        <v>18.54</v>
      </c>
      <c r="AH7" s="10" t="s">
        <v>154</v>
      </c>
      <c r="AI7" s="25">
        <v>3131</v>
      </c>
      <c r="AJ7" s="11">
        <v>708</v>
      </c>
      <c r="AK7" s="11">
        <v>4.08</v>
      </c>
      <c r="AL7" s="11">
        <v>0</v>
      </c>
      <c r="AM7" s="11">
        <v>0</v>
      </c>
      <c r="AN7" s="11">
        <v>96.6</v>
      </c>
      <c r="AO7" s="11">
        <v>2.5</v>
      </c>
      <c r="AP7" s="12">
        <v>4.9000000000000004</v>
      </c>
    </row>
    <row r="8" spans="1:42" x14ac:dyDescent="0.2">
      <c r="A8" s="10" t="s">
        <v>20</v>
      </c>
      <c r="B8" s="11" t="s">
        <v>21</v>
      </c>
      <c r="C8" s="11" t="s">
        <v>22</v>
      </c>
      <c r="D8" s="11" t="s">
        <v>18</v>
      </c>
      <c r="E8" s="29">
        <v>4.8</v>
      </c>
      <c r="F8" s="11">
        <v>6470</v>
      </c>
      <c r="G8" s="23">
        <v>1400</v>
      </c>
      <c r="H8" s="11" t="s">
        <v>4</v>
      </c>
      <c r="I8" s="11">
        <v>1</v>
      </c>
      <c r="J8" s="11">
        <v>1</v>
      </c>
      <c r="K8" s="12">
        <v>18.29</v>
      </c>
      <c r="AH8" s="10" t="s">
        <v>155</v>
      </c>
      <c r="AI8" s="25">
        <v>3376</v>
      </c>
      <c r="AJ8" s="11">
        <v>2062</v>
      </c>
      <c r="AK8" s="11">
        <v>4.26</v>
      </c>
      <c r="AL8" s="11">
        <v>10</v>
      </c>
      <c r="AM8" s="11">
        <v>0.3</v>
      </c>
      <c r="AN8" s="11">
        <v>99.8</v>
      </c>
      <c r="AO8" s="11">
        <v>2.8</v>
      </c>
      <c r="AP8" s="12">
        <v>4.9000000000000004</v>
      </c>
    </row>
    <row r="9" spans="1:42" x14ac:dyDescent="0.2">
      <c r="A9" s="10" t="s">
        <v>5</v>
      </c>
      <c r="B9" s="11" t="s">
        <v>6</v>
      </c>
      <c r="C9" s="11" t="s">
        <v>7</v>
      </c>
      <c r="D9" s="11" t="s">
        <v>3</v>
      </c>
      <c r="E9" s="29">
        <v>4.7</v>
      </c>
      <c r="F9" s="11">
        <v>14956</v>
      </c>
      <c r="G9" s="23">
        <v>1500</v>
      </c>
      <c r="H9" s="11" t="s">
        <v>4</v>
      </c>
      <c r="I9" s="11">
        <v>0</v>
      </c>
      <c r="J9" s="11">
        <v>0</v>
      </c>
      <c r="K9" s="12">
        <v>19.62</v>
      </c>
      <c r="AH9" s="13" t="s">
        <v>156</v>
      </c>
      <c r="AI9" s="26">
        <v>234</v>
      </c>
      <c r="AJ9" s="14">
        <v>8116</v>
      </c>
      <c r="AK9" s="14">
        <v>4.5199999999999996</v>
      </c>
      <c r="AL9" s="14">
        <v>0</v>
      </c>
      <c r="AM9" s="14">
        <v>0</v>
      </c>
      <c r="AN9" s="14">
        <v>100</v>
      </c>
      <c r="AO9" s="14">
        <v>4.0999999999999996</v>
      </c>
      <c r="AP9" s="15">
        <v>4.9000000000000004</v>
      </c>
    </row>
    <row r="10" spans="1:42" ht="19" x14ac:dyDescent="0.25">
      <c r="A10" s="10" t="s">
        <v>12</v>
      </c>
      <c r="B10" s="11" t="s">
        <v>13</v>
      </c>
      <c r="C10" s="11" t="s">
        <v>14</v>
      </c>
      <c r="D10" s="11" t="s">
        <v>15</v>
      </c>
      <c r="E10" s="29">
        <v>4.7</v>
      </c>
      <c r="F10" s="11">
        <v>14726</v>
      </c>
      <c r="G10" s="23">
        <v>900</v>
      </c>
      <c r="H10" s="11" t="s">
        <v>4</v>
      </c>
      <c r="I10" s="11">
        <v>0</v>
      </c>
      <c r="J10" s="11">
        <v>0</v>
      </c>
      <c r="K10" s="12">
        <v>19.59</v>
      </c>
      <c r="N10" s="7" t="s">
        <v>143</v>
      </c>
      <c r="O10" s="9" t="s">
        <v>224</v>
      </c>
      <c r="Q10" s="31" t="s">
        <v>229</v>
      </c>
      <c r="R10" s="31"/>
      <c r="S10" s="31"/>
      <c r="T10" s="31"/>
      <c r="U10" s="31"/>
      <c r="V10" s="31"/>
    </row>
    <row r="11" spans="1:42" x14ac:dyDescent="0.2">
      <c r="A11" s="10" t="s">
        <v>16</v>
      </c>
      <c r="B11" s="11" t="s">
        <v>13</v>
      </c>
      <c r="C11" s="11" t="s">
        <v>17</v>
      </c>
      <c r="D11" s="11" t="s">
        <v>18</v>
      </c>
      <c r="E11" s="29">
        <v>4.7</v>
      </c>
      <c r="F11" s="11">
        <v>10550</v>
      </c>
      <c r="G11" s="23">
        <v>1400</v>
      </c>
      <c r="H11" s="11" t="s">
        <v>4</v>
      </c>
      <c r="I11" s="11">
        <v>0</v>
      </c>
      <c r="J11" s="11">
        <v>1</v>
      </c>
      <c r="K11" s="12">
        <v>18.91</v>
      </c>
      <c r="N11" s="16" t="s">
        <v>28</v>
      </c>
      <c r="O11" s="18">
        <v>63.6</v>
      </c>
    </row>
    <row r="12" spans="1:42" x14ac:dyDescent="0.2">
      <c r="A12" s="10" t="s">
        <v>26</v>
      </c>
      <c r="B12" s="11" t="s">
        <v>6</v>
      </c>
      <c r="C12" s="11" t="s">
        <v>17</v>
      </c>
      <c r="D12" s="11" t="s">
        <v>11</v>
      </c>
      <c r="E12" s="29">
        <v>4.7</v>
      </c>
      <c r="F12" s="11">
        <v>7270</v>
      </c>
      <c r="G12" s="23">
        <v>1600</v>
      </c>
      <c r="H12" s="11" t="s">
        <v>4</v>
      </c>
      <c r="I12" s="11">
        <v>0</v>
      </c>
      <c r="J12" s="11">
        <v>1</v>
      </c>
      <c r="K12" s="12">
        <v>18.149999999999999</v>
      </c>
      <c r="N12" s="16" t="s">
        <v>29</v>
      </c>
      <c r="O12" s="18">
        <v>74.3</v>
      </c>
    </row>
    <row r="13" spans="1:42" x14ac:dyDescent="0.2">
      <c r="A13" s="13" t="s">
        <v>23</v>
      </c>
      <c r="B13" s="14" t="s">
        <v>24</v>
      </c>
      <c r="C13" s="14" t="s">
        <v>22</v>
      </c>
      <c r="D13" s="14" t="s">
        <v>25</v>
      </c>
      <c r="E13" s="30">
        <v>4.5999999999999996</v>
      </c>
      <c r="F13" s="14">
        <v>9300</v>
      </c>
      <c r="G13" s="24">
        <v>1800</v>
      </c>
      <c r="H13" s="14" t="s">
        <v>4</v>
      </c>
      <c r="I13" s="14">
        <v>0</v>
      </c>
      <c r="J13" s="14">
        <v>1</v>
      </c>
      <c r="K13" s="15">
        <v>18.260000000000002</v>
      </c>
      <c r="N13" s="19" t="s">
        <v>4</v>
      </c>
      <c r="O13" s="21">
        <v>92</v>
      </c>
    </row>
  </sheetData>
  <mergeCells count="4">
    <mergeCell ref="A1:K1"/>
    <mergeCell ref="N1:AA1"/>
    <mergeCell ref="AH1:AP1"/>
    <mergeCell ref="Q10:V10"/>
  </mergeCells>
  <conditionalFormatting sqref="K1:K1048576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{45575F88-488E-9D43-A37D-66DE7EA2D78C}</x14:id>
        </ext>
      </extLst>
    </cfRule>
  </conditionalFormatting>
  <conditionalFormatting sqref="E1:E1048576">
    <cfRule type="colorScale" priority="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1:I1048576">
    <cfRule type="containsText" dxfId="27" priority="8" operator="containsText" text="1">
      <formula>NOT(ISERROR(SEARCH("1",I1)))</formula>
    </cfRule>
  </conditionalFormatting>
  <conditionalFormatting sqref="J1:J1048576">
    <cfRule type="containsText" dxfId="26" priority="7" operator="containsText" text="1">
      <formula>NOT(ISERROR(SEARCH("1",J1)))</formula>
    </cfRule>
  </conditionalFormatting>
  <conditionalFormatting sqref="AD1:AD1048576">
    <cfRule type="containsText" dxfId="25" priority="4" operator="containsText" text="Baseline">
      <formula>NOT(ISERROR(SEARCH("Baseline",AD1)))</formula>
    </cfRule>
    <cfRule type="containsText" dxfId="24" priority="5" operator="containsText" text="Marginal">
      <formula>NOT(ISERROR(SEARCH("Marginal",AD1)))</formula>
    </cfRule>
    <cfRule type="containsText" dxfId="23" priority="6" operator="containsText" text="Justified">
      <formula>NOT(ISERROR(SEARCH("Justified",AD1)))</formula>
    </cfRule>
  </conditionalFormatting>
  <conditionalFormatting sqref="AK1:AK1048576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{B87D51F6-F2BA-4946-BE9E-D7C925049DE6}</x14:id>
        </ext>
      </extLst>
    </cfRule>
  </conditionalFormatting>
  <conditionalFormatting sqref="AN1:AN1048576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M1:AM1048576">
    <cfRule type="colorScale" priority="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5575F88-488E-9D43-A37D-66DE7EA2D78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K1:K1048576</xm:sqref>
        </x14:conditionalFormatting>
        <x14:conditionalFormatting xmlns:xm="http://schemas.microsoft.com/office/excel/2006/main">
          <x14:cfRule type="dataBar" id="{B87D51F6-F2BA-4946-BE9E-D7C925049DE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AK1:AK1048576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76E0D-4FCF-0643-8E16-381845A25FAE}">
  <dimension ref="A1:AI59"/>
  <sheetViews>
    <sheetView topLeftCell="AH1" zoomScale="125" workbookViewId="0">
      <pane ySplit="3" topLeftCell="A4" activePane="bottomLeft" state="frozen"/>
      <selection pane="bottomLeft" activeCell="P3" sqref="P3"/>
    </sheetView>
  </sheetViews>
  <sheetFormatPr baseColWidth="10" defaultRowHeight="16" x14ac:dyDescent="0.2"/>
  <cols>
    <col min="1" max="1" width="25.5" bestFit="1" customWidth="1"/>
    <col min="2" max="2" width="18.5" bestFit="1" customWidth="1"/>
    <col min="3" max="3" width="19" bestFit="1" customWidth="1"/>
    <col min="4" max="5" width="17.5" bestFit="1" customWidth="1"/>
    <col min="6" max="6" width="23.1640625" bestFit="1" customWidth="1"/>
    <col min="7" max="7" width="22.33203125" bestFit="1" customWidth="1"/>
    <col min="8" max="8" width="17.5" bestFit="1" customWidth="1"/>
    <col min="9" max="9" width="10.83203125" style="2"/>
    <col min="11" max="11" width="12" bestFit="1" customWidth="1"/>
    <col min="12" max="12" width="25.5" bestFit="1" customWidth="1"/>
    <col min="13" max="13" width="17.83203125" bestFit="1" customWidth="1"/>
    <col min="14" max="14" width="11.33203125" bestFit="1" customWidth="1"/>
    <col min="15" max="15" width="9.83203125" bestFit="1" customWidth="1"/>
    <col min="16" max="16" width="23.1640625" bestFit="1" customWidth="1"/>
    <col min="17" max="17" width="22.33203125" bestFit="1" customWidth="1"/>
    <col min="18" max="18" width="17.5" bestFit="1" customWidth="1"/>
    <col min="19" max="19" width="13" bestFit="1" customWidth="1"/>
    <col min="20" max="20" width="10.83203125" style="2"/>
    <col min="22" max="22" width="13.1640625" bestFit="1" customWidth="1"/>
    <col min="23" max="23" width="25.5" bestFit="1" customWidth="1"/>
    <col min="24" max="24" width="18.5" bestFit="1" customWidth="1"/>
    <col min="25" max="25" width="22.33203125" bestFit="1" customWidth="1"/>
    <col min="26" max="26" width="20.5" bestFit="1" customWidth="1"/>
    <col min="27" max="27" width="17.6640625" bestFit="1" customWidth="1"/>
    <col min="28" max="28" width="14.1640625" bestFit="1" customWidth="1"/>
    <col min="29" max="29" width="11.33203125" bestFit="1" customWidth="1"/>
    <col min="30" max="30" width="9.83203125" style="34" bestFit="1" customWidth="1"/>
    <col min="31" max="31" width="13.5" bestFit="1" customWidth="1"/>
    <col min="32" max="32" width="10.83203125" style="2"/>
    <col min="34" max="34" width="19.83203125" bestFit="1" customWidth="1"/>
    <col min="35" max="35" width="23.1640625" bestFit="1" customWidth="1"/>
  </cols>
  <sheetData>
    <row r="1" spans="1:35" ht="19" x14ac:dyDescent="0.25">
      <c r="A1" s="1" t="s">
        <v>43</v>
      </c>
      <c r="B1" s="1"/>
      <c r="C1" s="1"/>
      <c r="D1" s="1"/>
      <c r="E1" s="1"/>
      <c r="F1" s="1"/>
      <c r="G1" s="1"/>
      <c r="H1" s="1"/>
      <c r="K1" s="1" t="s">
        <v>57</v>
      </c>
      <c r="L1" s="1"/>
      <c r="M1" s="1"/>
      <c r="N1" s="1"/>
      <c r="O1" s="1"/>
      <c r="P1" s="1"/>
      <c r="Q1" s="1"/>
      <c r="R1" s="1"/>
      <c r="S1" s="1"/>
      <c r="V1" s="1" t="s">
        <v>66</v>
      </c>
      <c r="W1" s="1"/>
      <c r="X1" s="1"/>
      <c r="Y1" s="1"/>
      <c r="Z1" s="1"/>
      <c r="AA1" s="1"/>
      <c r="AB1" s="1"/>
      <c r="AC1" s="1"/>
      <c r="AD1" s="1"/>
      <c r="AE1" s="1"/>
    </row>
    <row r="3" spans="1:35" ht="19" x14ac:dyDescent="0.25">
      <c r="A3" s="7" t="s">
        <v>133</v>
      </c>
      <c r="B3" s="8" t="s">
        <v>158</v>
      </c>
      <c r="C3" s="8" t="s">
        <v>163</v>
      </c>
      <c r="D3" s="8" t="s">
        <v>160</v>
      </c>
      <c r="E3" s="8" t="s">
        <v>164</v>
      </c>
      <c r="F3" s="8" t="s">
        <v>224</v>
      </c>
      <c r="G3" s="8" t="s">
        <v>230</v>
      </c>
      <c r="H3" s="9" t="s">
        <v>223</v>
      </c>
      <c r="K3" s="7" t="s">
        <v>165</v>
      </c>
      <c r="L3" s="8" t="s">
        <v>133</v>
      </c>
      <c r="M3" s="8" t="s">
        <v>158</v>
      </c>
      <c r="N3" s="8" t="s">
        <v>160</v>
      </c>
      <c r="O3" s="8" t="s">
        <v>164</v>
      </c>
      <c r="P3" s="8" t="s">
        <v>224</v>
      </c>
      <c r="Q3" s="8" t="s">
        <v>230</v>
      </c>
      <c r="R3" s="8" t="s">
        <v>223</v>
      </c>
      <c r="S3" s="9" t="s">
        <v>166</v>
      </c>
      <c r="V3" s="7" t="s">
        <v>167</v>
      </c>
      <c r="W3" s="8" t="s">
        <v>133</v>
      </c>
      <c r="X3" s="8" t="s">
        <v>158</v>
      </c>
      <c r="Y3" s="8" t="s">
        <v>230</v>
      </c>
      <c r="Z3" s="8" t="s">
        <v>231</v>
      </c>
      <c r="AA3" s="8" t="s">
        <v>168</v>
      </c>
      <c r="AB3" s="8" t="s">
        <v>169</v>
      </c>
      <c r="AC3" s="8" t="s">
        <v>160</v>
      </c>
      <c r="AD3" s="33" t="s">
        <v>164</v>
      </c>
      <c r="AE3" s="9" t="s">
        <v>170</v>
      </c>
      <c r="AH3" s="7" t="s">
        <v>133</v>
      </c>
      <c r="AI3" s="9" t="s">
        <v>224</v>
      </c>
    </row>
    <row r="4" spans="1:35" x14ac:dyDescent="0.2">
      <c r="A4" s="10" t="s">
        <v>13</v>
      </c>
      <c r="B4" s="25">
        <v>2479</v>
      </c>
      <c r="C4" s="11">
        <v>4.9000000000000004</v>
      </c>
      <c r="D4" s="11">
        <v>4.01</v>
      </c>
      <c r="E4" s="23">
        <v>664</v>
      </c>
      <c r="F4" s="11">
        <v>90</v>
      </c>
      <c r="G4" s="11">
        <v>65.7</v>
      </c>
      <c r="H4" s="12">
        <v>7.4</v>
      </c>
      <c r="K4" s="10">
        <v>14</v>
      </c>
      <c r="L4" s="11" t="s">
        <v>39</v>
      </c>
      <c r="M4" s="25">
        <v>1236</v>
      </c>
      <c r="N4" s="11">
        <v>3.7</v>
      </c>
      <c r="O4" s="23">
        <v>431</v>
      </c>
      <c r="P4" s="11">
        <v>76.400000000000006</v>
      </c>
      <c r="Q4" s="11">
        <v>68.8</v>
      </c>
      <c r="R4" s="11">
        <v>31.1</v>
      </c>
      <c r="S4" s="12">
        <v>0.85699999999999998</v>
      </c>
      <c r="V4" s="10">
        <v>1</v>
      </c>
      <c r="W4" s="11" t="s">
        <v>58</v>
      </c>
      <c r="X4" s="25">
        <v>187</v>
      </c>
      <c r="Y4" s="11">
        <v>87.2</v>
      </c>
      <c r="Z4" s="11">
        <v>5.9</v>
      </c>
      <c r="AA4" s="11">
        <v>26.7</v>
      </c>
      <c r="AB4" s="11">
        <v>62.8</v>
      </c>
      <c r="AC4" s="11">
        <v>3.5</v>
      </c>
      <c r="AD4" s="23">
        <v>433</v>
      </c>
      <c r="AE4" s="12" t="s">
        <v>59</v>
      </c>
      <c r="AH4" s="10" t="s">
        <v>13</v>
      </c>
      <c r="AI4" s="12">
        <v>90</v>
      </c>
    </row>
    <row r="5" spans="1:35" x14ac:dyDescent="0.2">
      <c r="A5" s="10" t="s">
        <v>41</v>
      </c>
      <c r="B5" s="25">
        <v>1174</v>
      </c>
      <c r="C5" s="11">
        <v>2.2999999999999998</v>
      </c>
      <c r="D5" s="11">
        <v>3.85</v>
      </c>
      <c r="E5" s="23">
        <v>593</v>
      </c>
      <c r="F5" s="11">
        <v>85.4</v>
      </c>
      <c r="G5" s="11">
        <v>68.5</v>
      </c>
      <c r="H5" s="12">
        <v>10.3</v>
      </c>
      <c r="K5" s="10">
        <v>2</v>
      </c>
      <c r="L5" s="11" t="s">
        <v>45</v>
      </c>
      <c r="M5" s="25">
        <v>294</v>
      </c>
      <c r="N5" s="11">
        <v>3.74</v>
      </c>
      <c r="O5" s="23">
        <v>359</v>
      </c>
      <c r="P5" s="11">
        <v>75.5</v>
      </c>
      <c r="Q5" s="11">
        <v>72.099999999999994</v>
      </c>
      <c r="R5" s="11">
        <v>27.9</v>
      </c>
      <c r="S5" s="12">
        <v>1.0429999999999999</v>
      </c>
      <c r="V5" s="10">
        <v>1</v>
      </c>
      <c r="W5" s="11" t="s">
        <v>47</v>
      </c>
      <c r="X5" s="25">
        <v>109</v>
      </c>
      <c r="Y5" s="11">
        <v>87.2</v>
      </c>
      <c r="Z5" s="11">
        <v>0</v>
      </c>
      <c r="AA5" s="11">
        <v>26.7</v>
      </c>
      <c r="AB5" s="11">
        <v>61</v>
      </c>
      <c r="AC5" s="11">
        <v>3.58</v>
      </c>
      <c r="AD5" s="23">
        <v>356</v>
      </c>
      <c r="AE5" s="12" t="s">
        <v>59</v>
      </c>
      <c r="AH5" s="10" t="s">
        <v>41</v>
      </c>
      <c r="AI5" s="12">
        <v>85.4</v>
      </c>
    </row>
    <row r="6" spans="1:35" x14ac:dyDescent="0.2">
      <c r="A6" s="10" t="s">
        <v>35</v>
      </c>
      <c r="B6" s="25">
        <v>1916</v>
      </c>
      <c r="C6" s="11">
        <v>3.8</v>
      </c>
      <c r="D6" s="11">
        <v>3.78</v>
      </c>
      <c r="E6" s="23">
        <v>477</v>
      </c>
      <c r="F6" s="11">
        <v>82.5</v>
      </c>
      <c r="G6" s="11">
        <v>71.599999999999994</v>
      </c>
      <c r="H6" s="12">
        <v>14.7</v>
      </c>
      <c r="K6" s="10">
        <v>3</v>
      </c>
      <c r="L6" s="11" t="s">
        <v>46</v>
      </c>
      <c r="M6" s="25">
        <v>684</v>
      </c>
      <c r="N6" s="11">
        <v>3.67</v>
      </c>
      <c r="O6" s="23">
        <v>361</v>
      </c>
      <c r="P6" s="11">
        <v>74.3</v>
      </c>
      <c r="Q6" s="11">
        <v>67.099999999999994</v>
      </c>
      <c r="R6" s="11">
        <v>13</v>
      </c>
      <c r="S6" s="12">
        <v>1.0169999999999999</v>
      </c>
      <c r="V6" s="10">
        <v>3</v>
      </c>
      <c r="W6" s="11" t="s">
        <v>60</v>
      </c>
      <c r="X6" s="25">
        <v>191</v>
      </c>
      <c r="Y6" s="11">
        <v>85.3</v>
      </c>
      <c r="Z6" s="11">
        <v>1</v>
      </c>
      <c r="AA6" s="11">
        <v>24.8</v>
      </c>
      <c r="AB6" s="11">
        <v>60.1</v>
      </c>
      <c r="AC6" s="11">
        <v>3.47</v>
      </c>
      <c r="AD6" s="23">
        <v>375</v>
      </c>
      <c r="AE6" s="12" t="s">
        <v>59</v>
      </c>
      <c r="AH6" s="10" t="s">
        <v>35</v>
      </c>
      <c r="AI6" s="12">
        <v>82.5</v>
      </c>
    </row>
    <row r="7" spans="1:35" x14ac:dyDescent="0.2">
      <c r="A7" s="10" t="s">
        <v>42</v>
      </c>
      <c r="B7" s="25">
        <v>1127</v>
      </c>
      <c r="C7" s="11">
        <v>2.2000000000000002</v>
      </c>
      <c r="D7" s="11">
        <v>3.78</v>
      </c>
      <c r="E7" s="23">
        <v>620</v>
      </c>
      <c r="F7" s="11">
        <v>81.7</v>
      </c>
      <c r="G7" s="11">
        <v>60.7</v>
      </c>
      <c r="H7" s="12">
        <v>6.7</v>
      </c>
      <c r="K7" s="10">
        <v>13</v>
      </c>
      <c r="L7" s="11" t="s">
        <v>55</v>
      </c>
      <c r="M7" s="25">
        <v>902</v>
      </c>
      <c r="N7" s="11">
        <v>3.65</v>
      </c>
      <c r="O7" s="23">
        <v>422</v>
      </c>
      <c r="P7" s="11">
        <v>71.900000000000006</v>
      </c>
      <c r="Q7" s="11">
        <v>55.8</v>
      </c>
      <c r="R7" s="11">
        <v>17.5</v>
      </c>
      <c r="S7" s="12">
        <v>0.86499999999999999</v>
      </c>
      <c r="V7" s="10">
        <v>4</v>
      </c>
      <c r="W7" s="11" t="s">
        <v>61</v>
      </c>
      <c r="X7" s="25">
        <v>119</v>
      </c>
      <c r="Y7" s="11">
        <v>78.2</v>
      </c>
      <c r="Z7" s="11">
        <v>1.7</v>
      </c>
      <c r="AA7" s="11">
        <v>17.7</v>
      </c>
      <c r="AB7" s="11">
        <v>55.2</v>
      </c>
      <c r="AC7" s="11">
        <v>3.5</v>
      </c>
      <c r="AD7" s="23">
        <v>431</v>
      </c>
      <c r="AE7" s="12" t="s">
        <v>59</v>
      </c>
      <c r="AH7" s="10" t="s">
        <v>42</v>
      </c>
      <c r="AI7" s="12">
        <v>81.7</v>
      </c>
    </row>
    <row r="8" spans="1:35" x14ac:dyDescent="0.2">
      <c r="A8" s="10" t="s">
        <v>6</v>
      </c>
      <c r="B8" s="25">
        <v>2026</v>
      </c>
      <c r="C8" s="11">
        <v>4</v>
      </c>
      <c r="D8" s="11">
        <v>3.83</v>
      </c>
      <c r="E8" s="23">
        <v>652</v>
      </c>
      <c r="F8" s="11">
        <v>80.900000000000006</v>
      </c>
      <c r="G8" s="11">
        <v>66.400000000000006</v>
      </c>
      <c r="H8" s="12">
        <v>11.4</v>
      </c>
      <c r="K8" s="10">
        <v>12</v>
      </c>
      <c r="L8" s="11" t="s">
        <v>54</v>
      </c>
      <c r="M8" s="25">
        <v>153</v>
      </c>
      <c r="N8" s="11">
        <v>3.68</v>
      </c>
      <c r="O8" s="23">
        <v>422</v>
      </c>
      <c r="P8" s="11">
        <v>70.7</v>
      </c>
      <c r="Q8" s="11">
        <v>67.3</v>
      </c>
      <c r="R8" s="11">
        <v>35.299999999999997</v>
      </c>
      <c r="S8" s="12">
        <v>0.872</v>
      </c>
      <c r="V8" s="10">
        <v>4</v>
      </c>
      <c r="W8" s="11" t="s">
        <v>62</v>
      </c>
      <c r="X8" s="25">
        <v>101</v>
      </c>
      <c r="Y8" s="11">
        <v>78.2</v>
      </c>
      <c r="Z8" s="11">
        <v>2</v>
      </c>
      <c r="AA8" s="11">
        <v>17.7</v>
      </c>
      <c r="AB8" s="11">
        <v>55.3</v>
      </c>
      <c r="AC8" s="11">
        <v>3.51</v>
      </c>
      <c r="AD8" s="23">
        <v>415</v>
      </c>
      <c r="AE8" s="12" t="s">
        <v>59</v>
      </c>
      <c r="AH8" s="10" t="s">
        <v>6</v>
      </c>
      <c r="AI8" s="12">
        <v>80.900000000000006</v>
      </c>
    </row>
    <row r="9" spans="1:35" x14ac:dyDescent="0.2">
      <c r="A9" s="10" t="s">
        <v>39</v>
      </c>
      <c r="B9" s="25">
        <v>1236</v>
      </c>
      <c r="C9" s="11">
        <v>2.4</v>
      </c>
      <c r="D9" s="11">
        <v>3.7</v>
      </c>
      <c r="E9" s="23">
        <v>431</v>
      </c>
      <c r="F9" s="11">
        <v>76.400000000000006</v>
      </c>
      <c r="G9" s="11">
        <v>68.8</v>
      </c>
      <c r="H9" s="12">
        <v>31.1</v>
      </c>
      <c r="K9" s="10">
        <v>4</v>
      </c>
      <c r="L9" s="11" t="s">
        <v>47</v>
      </c>
      <c r="M9" s="25">
        <v>109</v>
      </c>
      <c r="N9" s="11">
        <v>3.58</v>
      </c>
      <c r="O9" s="23">
        <v>356</v>
      </c>
      <c r="P9" s="11">
        <v>67.900000000000006</v>
      </c>
      <c r="Q9" s="11">
        <v>87.2</v>
      </c>
      <c r="R9" s="11">
        <v>22.9</v>
      </c>
      <c r="S9" s="12">
        <v>1.0069999999999999</v>
      </c>
      <c r="V9" s="10">
        <v>6</v>
      </c>
      <c r="W9" s="11" t="s">
        <v>32</v>
      </c>
      <c r="X9" s="25">
        <v>2494</v>
      </c>
      <c r="Y9" s="11">
        <v>77.8</v>
      </c>
      <c r="Z9" s="11">
        <v>8.6999999999999993</v>
      </c>
      <c r="AA9" s="11">
        <v>17.3</v>
      </c>
      <c r="AB9" s="11">
        <v>57.1</v>
      </c>
      <c r="AC9" s="11">
        <v>3.68</v>
      </c>
      <c r="AD9" s="23">
        <v>477</v>
      </c>
      <c r="AE9" s="12" t="s">
        <v>59</v>
      </c>
      <c r="AH9" s="10" t="s">
        <v>39</v>
      </c>
      <c r="AI9" s="12">
        <v>76.400000000000006</v>
      </c>
    </row>
    <row r="10" spans="1:35" x14ac:dyDescent="0.2">
      <c r="A10" s="10" t="s">
        <v>40</v>
      </c>
      <c r="B10" s="25">
        <v>1210</v>
      </c>
      <c r="C10" s="11">
        <v>2.4</v>
      </c>
      <c r="D10" s="11">
        <v>3.7</v>
      </c>
      <c r="E10" s="23">
        <v>649</v>
      </c>
      <c r="F10" s="11">
        <v>73.5</v>
      </c>
      <c r="G10" s="11">
        <v>59.5</v>
      </c>
      <c r="H10" s="12">
        <v>13.4</v>
      </c>
      <c r="K10" s="10">
        <v>9</v>
      </c>
      <c r="L10" s="11" t="s">
        <v>19</v>
      </c>
      <c r="M10" s="25">
        <v>5056</v>
      </c>
      <c r="N10" s="11">
        <v>3.57</v>
      </c>
      <c r="O10" s="23">
        <v>396</v>
      </c>
      <c r="P10" s="11">
        <v>65.599999999999994</v>
      </c>
      <c r="Q10" s="11">
        <v>65.900000000000006</v>
      </c>
      <c r="R10" s="11">
        <v>23.4</v>
      </c>
      <c r="S10" s="12">
        <v>0.90200000000000002</v>
      </c>
      <c r="V10" s="10">
        <v>7</v>
      </c>
      <c r="W10" s="11" t="s">
        <v>52</v>
      </c>
      <c r="X10" s="25">
        <v>268</v>
      </c>
      <c r="Y10" s="11">
        <v>75.7</v>
      </c>
      <c r="Z10" s="11">
        <v>1.5</v>
      </c>
      <c r="AA10" s="11">
        <v>15.2</v>
      </c>
      <c r="AB10" s="11">
        <v>53.5</v>
      </c>
      <c r="AC10" s="11">
        <v>3.59</v>
      </c>
      <c r="AD10" s="23">
        <v>399</v>
      </c>
      <c r="AE10" s="12" t="s">
        <v>59</v>
      </c>
      <c r="AH10" s="10" t="s">
        <v>40</v>
      </c>
      <c r="AI10" s="12">
        <v>73.5</v>
      </c>
    </row>
    <row r="11" spans="1:35" x14ac:dyDescent="0.2">
      <c r="A11" s="10" t="s">
        <v>33</v>
      </c>
      <c r="B11" s="25">
        <v>2218</v>
      </c>
      <c r="C11" s="11">
        <v>4.3</v>
      </c>
      <c r="D11" s="11">
        <v>3.68</v>
      </c>
      <c r="E11" s="23">
        <v>524</v>
      </c>
      <c r="F11" s="11">
        <v>73.3</v>
      </c>
      <c r="G11" s="11">
        <v>60.1</v>
      </c>
      <c r="H11" s="12">
        <v>22.9</v>
      </c>
      <c r="K11" s="10">
        <v>10</v>
      </c>
      <c r="L11" s="11" t="s">
        <v>52</v>
      </c>
      <c r="M11" s="25">
        <v>268</v>
      </c>
      <c r="N11" s="11">
        <v>3.59</v>
      </c>
      <c r="O11" s="23">
        <v>399</v>
      </c>
      <c r="P11" s="11">
        <v>64.400000000000006</v>
      </c>
      <c r="Q11" s="11">
        <v>75.7</v>
      </c>
      <c r="R11" s="11">
        <v>7.8</v>
      </c>
      <c r="S11" s="12">
        <v>0.90100000000000002</v>
      </c>
      <c r="V11" s="10">
        <v>8</v>
      </c>
      <c r="W11" s="11" t="s">
        <v>63</v>
      </c>
      <c r="X11" s="25">
        <v>113</v>
      </c>
      <c r="Y11" s="11">
        <v>72.599999999999994</v>
      </c>
      <c r="Z11" s="11">
        <v>3.5</v>
      </c>
      <c r="AA11" s="11">
        <v>12.1</v>
      </c>
      <c r="AB11" s="11">
        <v>51.9</v>
      </c>
      <c r="AC11" s="11">
        <v>3.58</v>
      </c>
      <c r="AD11" s="23">
        <v>502</v>
      </c>
      <c r="AE11" s="12" t="s">
        <v>59</v>
      </c>
      <c r="AH11" s="10" t="s">
        <v>33</v>
      </c>
      <c r="AI11" s="12">
        <v>73.3</v>
      </c>
    </row>
    <row r="12" spans="1:35" x14ac:dyDescent="0.2">
      <c r="A12" s="10" t="s">
        <v>32</v>
      </c>
      <c r="B12" s="25">
        <v>2494</v>
      </c>
      <c r="C12" s="11">
        <v>4.9000000000000004</v>
      </c>
      <c r="D12" s="11">
        <v>3.68</v>
      </c>
      <c r="E12" s="23">
        <v>477</v>
      </c>
      <c r="F12" s="11">
        <v>72.900000000000006</v>
      </c>
      <c r="G12" s="11">
        <v>77.8</v>
      </c>
      <c r="H12" s="12">
        <v>20.100000000000001</v>
      </c>
      <c r="K12" s="10">
        <v>7</v>
      </c>
      <c r="L12" s="11" t="s">
        <v>50</v>
      </c>
      <c r="M12" s="25">
        <v>370</v>
      </c>
      <c r="N12" s="11">
        <v>3.56</v>
      </c>
      <c r="O12" s="23">
        <v>392</v>
      </c>
      <c r="P12" s="11">
        <v>61.9</v>
      </c>
      <c r="Q12" s="11">
        <v>37.799999999999997</v>
      </c>
      <c r="R12" s="11">
        <v>27</v>
      </c>
      <c r="S12" s="12">
        <v>0.90700000000000003</v>
      </c>
      <c r="V12" s="10">
        <v>9</v>
      </c>
      <c r="W12" s="11" t="s">
        <v>45</v>
      </c>
      <c r="X12" s="25">
        <v>294</v>
      </c>
      <c r="Y12" s="11">
        <v>72.099999999999994</v>
      </c>
      <c r="Z12" s="11">
        <v>5.8</v>
      </c>
      <c r="AA12" s="11">
        <v>11.6</v>
      </c>
      <c r="AB12" s="11">
        <v>52.2</v>
      </c>
      <c r="AC12" s="11">
        <v>3.74</v>
      </c>
      <c r="AD12" s="23">
        <v>359</v>
      </c>
      <c r="AE12" s="12" t="s">
        <v>59</v>
      </c>
      <c r="AH12" s="10" t="s">
        <v>32</v>
      </c>
      <c r="AI12" s="12">
        <v>72.900000000000006</v>
      </c>
    </row>
    <row r="13" spans="1:35" x14ac:dyDescent="0.2">
      <c r="A13" s="10" t="s">
        <v>19</v>
      </c>
      <c r="B13" s="25">
        <v>5056</v>
      </c>
      <c r="C13" s="11">
        <v>9.9</v>
      </c>
      <c r="D13" s="11">
        <v>3.57</v>
      </c>
      <c r="E13" s="23">
        <v>396</v>
      </c>
      <c r="F13" s="11">
        <v>65.599999999999994</v>
      </c>
      <c r="G13" s="11">
        <v>65.900000000000006</v>
      </c>
      <c r="H13" s="12">
        <v>23.4</v>
      </c>
      <c r="K13" s="10">
        <v>1</v>
      </c>
      <c r="L13" s="11" t="s">
        <v>44</v>
      </c>
      <c r="M13" s="25">
        <v>122</v>
      </c>
      <c r="N13" s="11">
        <v>3.54</v>
      </c>
      <c r="O13" s="23">
        <v>302</v>
      </c>
      <c r="P13" s="11">
        <v>61.3</v>
      </c>
      <c r="Q13" s="11">
        <v>27.9</v>
      </c>
      <c r="R13" s="11">
        <v>38.5</v>
      </c>
      <c r="S13" s="12">
        <v>1.169</v>
      </c>
      <c r="V13" s="10">
        <v>10</v>
      </c>
      <c r="W13" s="11" t="s">
        <v>35</v>
      </c>
      <c r="X13" s="25">
        <v>1916</v>
      </c>
      <c r="Y13" s="11">
        <v>71.599999999999994</v>
      </c>
      <c r="Z13" s="11">
        <v>14.6</v>
      </c>
      <c r="AA13" s="11">
        <v>11.1</v>
      </c>
      <c r="AB13" s="11">
        <v>54.5</v>
      </c>
      <c r="AC13" s="11">
        <v>3.78</v>
      </c>
      <c r="AD13" s="23">
        <v>477</v>
      </c>
      <c r="AE13" s="12" t="s">
        <v>59</v>
      </c>
      <c r="AH13" s="10" t="s">
        <v>19</v>
      </c>
      <c r="AI13" s="12">
        <v>65.599999999999994</v>
      </c>
    </row>
    <row r="14" spans="1:35" x14ac:dyDescent="0.2">
      <c r="A14" s="10" t="s">
        <v>34</v>
      </c>
      <c r="B14" s="25">
        <v>2105</v>
      </c>
      <c r="C14" s="11">
        <v>4.0999999999999996</v>
      </c>
      <c r="D14" s="11">
        <v>3.62</v>
      </c>
      <c r="E14" s="23">
        <v>600</v>
      </c>
      <c r="F14" s="11">
        <v>64.599999999999994</v>
      </c>
      <c r="G14" s="11">
        <v>54.3</v>
      </c>
      <c r="H14" s="12">
        <v>25.5</v>
      </c>
      <c r="K14" s="10">
        <v>15</v>
      </c>
      <c r="L14" s="11" t="s">
        <v>56</v>
      </c>
      <c r="M14" s="25">
        <v>246</v>
      </c>
      <c r="N14" s="11">
        <v>3.54</v>
      </c>
      <c r="O14" s="23">
        <v>413</v>
      </c>
      <c r="P14" s="11">
        <v>61</v>
      </c>
      <c r="Q14" s="11">
        <v>49.6</v>
      </c>
      <c r="R14" s="11">
        <v>24</v>
      </c>
      <c r="S14" s="12">
        <v>0.85599999999999998</v>
      </c>
      <c r="V14" s="10">
        <v>11</v>
      </c>
      <c r="W14" s="11" t="s">
        <v>1</v>
      </c>
      <c r="X14" s="25">
        <v>1047</v>
      </c>
      <c r="Y14" s="11">
        <v>70</v>
      </c>
      <c r="Z14" s="11">
        <v>14.6</v>
      </c>
      <c r="AA14" s="11">
        <v>9.5</v>
      </c>
      <c r="AB14" s="11">
        <v>53.4</v>
      </c>
      <c r="AC14" s="11">
        <v>3.69</v>
      </c>
      <c r="AD14" s="23">
        <v>571</v>
      </c>
      <c r="AE14" s="12" t="s">
        <v>59</v>
      </c>
      <c r="AH14" s="10" t="s">
        <v>34</v>
      </c>
      <c r="AI14" s="12">
        <v>64.599999999999994</v>
      </c>
    </row>
    <row r="15" spans="1:35" x14ac:dyDescent="0.2">
      <c r="A15" s="10" t="s">
        <v>9</v>
      </c>
      <c r="B15" s="25">
        <v>1805</v>
      </c>
      <c r="C15" s="11">
        <v>3.5</v>
      </c>
      <c r="D15" s="11">
        <v>3.55</v>
      </c>
      <c r="E15" s="23">
        <v>512</v>
      </c>
      <c r="F15" s="11">
        <v>61.6</v>
      </c>
      <c r="G15" s="11">
        <v>64</v>
      </c>
      <c r="H15" s="12">
        <v>22</v>
      </c>
      <c r="K15" s="10">
        <v>11</v>
      </c>
      <c r="L15" s="11" t="s">
        <v>53</v>
      </c>
      <c r="M15" s="25">
        <v>640</v>
      </c>
      <c r="N15" s="11">
        <v>3.5</v>
      </c>
      <c r="O15" s="23">
        <v>396</v>
      </c>
      <c r="P15" s="11">
        <v>59.4</v>
      </c>
      <c r="Q15" s="11">
        <v>52.7</v>
      </c>
      <c r="R15" s="11">
        <v>27.7</v>
      </c>
      <c r="S15" s="12">
        <v>0.88500000000000001</v>
      </c>
      <c r="V15" s="10">
        <v>12</v>
      </c>
      <c r="W15" s="11" t="s">
        <v>39</v>
      </c>
      <c r="X15" s="25">
        <v>1236</v>
      </c>
      <c r="Y15" s="11">
        <v>68.8</v>
      </c>
      <c r="Z15" s="11">
        <v>4</v>
      </c>
      <c r="AA15" s="11">
        <v>8.3000000000000007</v>
      </c>
      <c r="AB15" s="11">
        <v>49.4</v>
      </c>
      <c r="AC15" s="11">
        <v>3.7</v>
      </c>
      <c r="AD15" s="23">
        <v>431</v>
      </c>
      <c r="AE15" s="12" t="s">
        <v>64</v>
      </c>
      <c r="AH15" s="10" t="s">
        <v>9</v>
      </c>
      <c r="AI15" s="12">
        <v>61.6</v>
      </c>
    </row>
    <row r="16" spans="1:35" x14ac:dyDescent="0.2">
      <c r="A16" s="10" t="s">
        <v>37</v>
      </c>
      <c r="B16" s="25">
        <v>1268</v>
      </c>
      <c r="C16" s="11">
        <v>2.5</v>
      </c>
      <c r="D16" s="11">
        <v>3.53</v>
      </c>
      <c r="E16" s="23">
        <v>530</v>
      </c>
      <c r="F16" s="11">
        <v>59.8</v>
      </c>
      <c r="G16" s="11">
        <v>61.4</v>
      </c>
      <c r="H16" s="12">
        <v>21.5</v>
      </c>
      <c r="K16" s="10">
        <v>5</v>
      </c>
      <c r="L16" s="11" t="s">
        <v>48</v>
      </c>
      <c r="M16" s="25">
        <v>191</v>
      </c>
      <c r="N16" s="11">
        <v>3.55</v>
      </c>
      <c r="O16" s="23">
        <v>354</v>
      </c>
      <c r="P16" s="11">
        <v>58.5</v>
      </c>
      <c r="Q16" s="11">
        <v>40.299999999999997</v>
      </c>
      <c r="R16" s="11">
        <v>31.9</v>
      </c>
      <c r="S16" s="12">
        <v>1.0049999999999999</v>
      </c>
      <c r="V16" s="10">
        <v>13</v>
      </c>
      <c r="W16" s="11" t="s">
        <v>41</v>
      </c>
      <c r="X16" s="25">
        <v>1174</v>
      </c>
      <c r="Y16" s="11">
        <v>68.5</v>
      </c>
      <c r="Z16" s="11">
        <v>13.8</v>
      </c>
      <c r="AA16" s="11">
        <v>8</v>
      </c>
      <c r="AB16" s="11">
        <v>52.1</v>
      </c>
      <c r="AC16" s="11">
        <v>3.85</v>
      </c>
      <c r="AD16" s="23">
        <v>593</v>
      </c>
      <c r="AE16" s="12" t="s">
        <v>64</v>
      </c>
      <c r="AH16" s="10" t="s">
        <v>37</v>
      </c>
      <c r="AI16" s="12">
        <v>59.8</v>
      </c>
    </row>
    <row r="17" spans="1:35" x14ac:dyDescent="0.2">
      <c r="A17" s="10" t="s">
        <v>36</v>
      </c>
      <c r="B17" s="25">
        <v>1609</v>
      </c>
      <c r="C17" s="11">
        <v>3.2</v>
      </c>
      <c r="D17" s="11">
        <v>3.51</v>
      </c>
      <c r="E17" s="23">
        <v>444</v>
      </c>
      <c r="F17" s="11">
        <v>55.5</v>
      </c>
      <c r="G17" s="11">
        <v>58.1</v>
      </c>
      <c r="H17" s="12">
        <v>23.9</v>
      </c>
      <c r="K17" s="10">
        <v>8</v>
      </c>
      <c r="L17" s="11" t="s">
        <v>51</v>
      </c>
      <c r="M17" s="25">
        <v>155</v>
      </c>
      <c r="N17" s="11">
        <v>3.5</v>
      </c>
      <c r="O17" s="23">
        <v>387</v>
      </c>
      <c r="P17" s="11">
        <v>52.3</v>
      </c>
      <c r="Q17" s="11">
        <v>16.8</v>
      </c>
      <c r="R17" s="11">
        <v>28.4</v>
      </c>
      <c r="S17" s="12">
        <v>0.90400000000000003</v>
      </c>
      <c r="V17" s="10">
        <v>14</v>
      </c>
      <c r="W17" s="11" t="s">
        <v>65</v>
      </c>
      <c r="X17" s="25">
        <v>714</v>
      </c>
      <c r="Y17" s="11">
        <v>67.8</v>
      </c>
      <c r="Z17" s="11">
        <v>1.1000000000000001</v>
      </c>
      <c r="AA17" s="11">
        <v>7.3</v>
      </c>
      <c r="AB17" s="11">
        <v>47.8</v>
      </c>
      <c r="AC17" s="11">
        <v>3.61</v>
      </c>
      <c r="AD17" s="23">
        <v>427</v>
      </c>
      <c r="AE17" s="12" t="s">
        <v>64</v>
      </c>
      <c r="AH17" s="10" t="s">
        <v>36</v>
      </c>
      <c r="AI17" s="12">
        <v>55.5</v>
      </c>
    </row>
    <row r="18" spans="1:35" x14ac:dyDescent="0.2">
      <c r="A18" s="13" t="s">
        <v>38</v>
      </c>
      <c r="B18" s="26">
        <v>1246</v>
      </c>
      <c r="C18" s="14">
        <v>2.4</v>
      </c>
      <c r="D18" s="14">
        <v>3.49</v>
      </c>
      <c r="E18" s="24">
        <v>498</v>
      </c>
      <c r="F18" s="14">
        <v>55.2</v>
      </c>
      <c r="G18" s="14">
        <v>46.2</v>
      </c>
      <c r="H18" s="15">
        <v>33.200000000000003</v>
      </c>
      <c r="K18" s="13">
        <v>6</v>
      </c>
      <c r="L18" s="14" t="s">
        <v>49</v>
      </c>
      <c r="M18" s="26">
        <v>159</v>
      </c>
      <c r="N18" s="14">
        <v>3.5</v>
      </c>
      <c r="O18" s="24">
        <v>384</v>
      </c>
      <c r="P18" s="14">
        <v>46.5</v>
      </c>
      <c r="Q18" s="14">
        <v>65.400000000000006</v>
      </c>
      <c r="R18" s="14">
        <v>28.3</v>
      </c>
      <c r="S18" s="15">
        <v>0.91200000000000003</v>
      </c>
      <c r="V18" s="13">
        <v>15</v>
      </c>
      <c r="W18" s="14" t="s">
        <v>54</v>
      </c>
      <c r="X18" s="26">
        <v>153</v>
      </c>
      <c r="Y18" s="14">
        <v>67.3</v>
      </c>
      <c r="Z18" s="14">
        <v>3.9</v>
      </c>
      <c r="AA18" s="14">
        <v>6.8</v>
      </c>
      <c r="AB18" s="14">
        <v>48.3</v>
      </c>
      <c r="AC18" s="14">
        <v>3.68</v>
      </c>
      <c r="AD18" s="24">
        <v>422</v>
      </c>
      <c r="AE18" s="15" t="s">
        <v>64</v>
      </c>
      <c r="AH18" s="13" t="s">
        <v>38</v>
      </c>
      <c r="AI18" s="15">
        <v>55.2</v>
      </c>
    </row>
    <row r="22" spans="1:35" ht="19" x14ac:dyDescent="0.25">
      <c r="A22" s="31" t="s">
        <v>232</v>
      </c>
      <c r="B22" s="31"/>
      <c r="C22" s="31"/>
      <c r="D22" s="31"/>
      <c r="E22" s="31"/>
      <c r="F22" s="31"/>
      <c r="G22" s="31"/>
      <c r="H22" s="31"/>
    </row>
    <row r="24" spans="1:35" ht="19" x14ac:dyDescent="0.25">
      <c r="A24" s="7" t="s">
        <v>133</v>
      </c>
      <c r="B24" s="8" t="s">
        <v>233</v>
      </c>
      <c r="C24" s="8" t="s">
        <v>165</v>
      </c>
      <c r="D24" s="8" t="s">
        <v>167</v>
      </c>
      <c r="E24" s="8" t="s">
        <v>234</v>
      </c>
      <c r="F24" s="9" t="s">
        <v>235</v>
      </c>
    </row>
    <row r="25" spans="1:35" x14ac:dyDescent="0.2">
      <c r="A25" s="10" t="s">
        <v>19</v>
      </c>
      <c r="B25" s="11">
        <f>IFERROR(MATCH(A25,$A$4:$A$18,0),"—")</f>
        <v>10</v>
      </c>
      <c r="C25" s="11">
        <f>IFERROR(INDEX($K$4:$K$18, MATCH(A25,$L$4:$L$18,0)),"—")</f>
        <v>9</v>
      </c>
      <c r="D25" s="11" t="str">
        <f>IFERROR(INDEX($V$4:$V$18, MATCH(A25,$W$4:$W$18,0)),"—")</f>
        <v>—</v>
      </c>
      <c r="E25" s="11">
        <f>COUNT(B25:D25)</f>
        <v>2</v>
      </c>
      <c r="F25" s="36">
        <f>IF(E25&gt;=2,AVERAGE(B25:D25),"Insufficient data")</f>
        <v>9.5</v>
      </c>
    </row>
    <row r="26" spans="1:35" x14ac:dyDescent="0.2">
      <c r="A26" s="10" t="s">
        <v>32</v>
      </c>
      <c r="B26" s="11">
        <f t="shared" ref="B26:B59" si="0">IFERROR(MATCH(A26,$A$4:$A$18,0),"—")</f>
        <v>9</v>
      </c>
      <c r="C26" s="11" t="str">
        <f>IFERROR(INDEX($K$4:$K$18, MATCH(A26,$L$4:$L$18,0)),"—")</f>
        <v>—</v>
      </c>
      <c r="D26" s="11">
        <f>IFERROR(INDEX($V$4:$V$18, MATCH(A26,$W$4:$W$18,0)),"—")</f>
        <v>6</v>
      </c>
      <c r="E26" s="11">
        <f t="shared" ref="E26:E59" si="1">COUNT(B26:D26)</f>
        <v>2</v>
      </c>
      <c r="F26" s="36">
        <f t="shared" ref="F26:F59" si="2">IF(E26&gt;=2,AVERAGE(B26:D26),"Insufficient data")</f>
        <v>7.5</v>
      </c>
    </row>
    <row r="27" spans="1:35" x14ac:dyDescent="0.2">
      <c r="A27" s="10" t="s">
        <v>13</v>
      </c>
      <c r="B27" s="11">
        <f t="shared" si="0"/>
        <v>1</v>
      </c>
      <c r="C27" s="11" t="str">
        <f>IFERROR(INDEX($K$4:$K$18, MATCH(A27,$L$4:$L$18,0)),"—")</f>
        <v>—</v>
      </c>
      <c r="D27" s="11" t="str">
        <f>IFERROR(INDEX($V$4:$V$18, MATCH(A27,$W$4:$W$18,0)),"—")</f>
        <v>—</v>
      </c>
      <c r="E27" s="11">
        <f t="shared" si="1"/>
        <v>1</v>
      </c>
      <c r="F27" s="36" t="str">
        <f t="shared" si="2"/>
        <v>Insufficient data</v>
      </c>
    </row>
    <row r="28" spans="1:35" x14ac:dyDescent="0.2">
      <c r="A28" s="10" t="s">
        <v>33</v>
      </c>
      <c r="B28" s="11">
        <f t="shared" si="0"/>
        <v>8</v>
      </c>
      <c r="C28" s="11" t="str">
        <f>IFERROR(INDEX($K$4:$K$18, MATCH(A28,$L$4:$L$18,0)),"—")</f>
        <v>—</v>
      </c>
      <c r="D28" s="11" t="str">
        <f>IFERROR(INDEX($V$4:$V$18, MATCH(A28,$W$4:$W$18,0)),"—")</f>
        <v>—</v>
      </c>
      <c r="E28" s="11">
        <f t="shared" si="1"/>
        <v>1</v>
      </c>
      <c r="F28" s="36" t="str">
        <f t="shared" si="2"/>
        <v>Insufficient data</v>
      </c>
    </row>
    <row r="29" spans="1:35" x14ac:dyDescent="0.2">
      <c r="A29" s="10" t="s">
        <v>34</v>
      </c>
      <c r="B29" s="11">
        <f t="shared" si="0"/>
        <v>11</v>
      </c>
      <c r="C29" s="11" t="str">
        <f>IFERROR(INDEX($K$4:$K$18, MATCH(A29,$L$4:$L$18,0)),"—")</f>
        <v>—</v>
      </c>
      <c r="D29" s="11" t="str">
        <f>IFERROR(INDEX($V$4:$V$18, MATCH(A29,$W$4:$W$18,0)),"—")</f>
        <v>—</v>
      </c>
      <c r="E29" s="11">
        <f t="shared" si="1"/>
        <v>1</v>
      </c>
      <c r="F29" s="36" t="str">
        <f t="shared" si="2"/>
        <v>Insufficient data</v>
      </c>
    </row>
    <row r="30" spans="1:35" x14ac:dyDescent="0.2">
      <c r="A30" s="10" t="s">
        <v>6</v>
      </c>
      <c r="B30" s="11">
        <f t="shared" si="0"/>
        <v>5</v>
      </c>
      <c r="C30" s="11" t="str">
        <f>IFERROR(INDEX($K$4:$K$18, MATCH(A30,$L$4:$L$18,0)),"—")</f>
        <v>—</v>
      </c>
      <c r="D30" s="11" t="str">
        <f>IFERROR(INDEX($V$4:$V$18, MATCH(A30,$W$4:$W$18,0)),"—")</f>
        <v>—</v>
      </c>
      <c r="E30" s="11">
        <f t="shared" si="1"/>
        <v>1</v>
      </c>
      <c r="F30" s="36" t="str">
        <f t="shared" si="2"/>
        <v>Insufficient data</v>
      </c>
    </row>
    <row r="31" spans="1:35" x14ac:dyDescent="0.2">
      <c r="A31" s="10" t="s">
        <v>35</v>
      </c>
      <c r="B31" s="11">
        <f t="shared" si="0"/>
        <v>3</v>
      </c>
      <c r="C31" s="11" t="str">
        <f>IFERROR(INDEX($K$4:$K$18, MATCH(A31,$L$4:$L$18,0)),"—")</f>
        <v>—</v>
      </c>
      <c r="D31" s="11">
        <f>IFERROR(INDEX($V$4:$V$18, MATCH(A31,$W$4:$W$18,0)),"—")</f>
        <v>10</v>
      </c>
      <c r="E31" s="11">
        <f t="shared" si="1"/>
        <v>2</v>
      </c>
      <c r="F31" s="36">
        <f t="shared" si="2"/>
        <v>6.5</v>
      </c>
    </row>
    <row r="32" spans="1:35" x14ac:dyDescent="0.2">
      <c r="A32" s="10" t="s">
        <v>9</v>
      </c>
      <c r="B32" s="11">
        <f t="shared" si="0"/>
        <v>12</v>
      </c>
      <c r="C32" s="11" t="str">
        <f>IFERROR(INDEX($K$4:$K$18, MATCH(A32,$L$4:$L$18,0)),"—")</f>
        <v>—</v>
      </c>
      <c r="D32" s="11" t="str">
        <f>IFERROR(INDEX($V$4:$V$18, MATCH(A32,$W$4:$W$18,0)),"—")</f>
        <v>—</v>
      </c>
      <c r="E32" s="11">
        <f t="shared" si="1"/>
        <v>1</v>
      </c>
      <c r="F32" s="36" t="str">
        <f t="shared" si="2"/>
        <v>Insufficient data</v>
      </c>
    </row>
    <row r="33" spans="1:6" x14ac:dyDescent="0.2">
      <c r="A33" s="10" t="s">
        <v>36</v>
      </c>
      <c r="B33" s="11">
        <f t="shared" si="0"/>
        <v>14</v>
      </c>
      <c r="C33" s="11" t="str">
        <f>IFERROR(INDEX($K$4:$K$18, MATCH(A33,$L$4:$L$18,0)),"—")</f>
        <v>—</v>
      </c>
      <c r="D33" s="11" t="str">
        <f>IFERROR(INDEX($V$4:$V$18, MATCH(A33,$W$4:$W$18,0)),"—")</f>
        <v>—</v>
      </c>
      <c r="E33" s="11">
        <f t="shared" si="1"/>
        <v>1</v>
      </c>
      <c r="F33" s="36" t="str">
        <f t="shared" si="2"/>
        <v>Insufficient data</v>
      </c>
    </row>
    <row r="34" spans="1:6" x14ac:dyDescent="0.2">
      <c r="A34" s="10" t="s">
        <v>37</v>
      </c>
      <c r="B34" s="11">
        <f t="shared" si="0"/>
        <v>13</v>
      </c>
      <c r="C34" s="11" t="str">
        <f>IFERROR(INDEX($K$4:$K$18, MATCH(A34,$L$4:$L$18,0)),"—")</f>
        <v>—</v>
      </c>
      <c r="D34" s="11" t="str">
        <f>IFERROR(INDEX($V$4:$V$18, MATCH(A34,$W$4:$W$18,0)),"—")</f>
        <v>—</v>
      </c>
      <c r="E34" s="11">
        <f t="shared" si="1"/>
        <v>1</v>
      </c>
      <c r="F34" s="36" t="str">
        <f t="shared" si="2"/>
        <v>Insufficient data</v>
      </c>
    </row>
    <row r="35" spans="1:6" x14ac:dyDescent="0.2">
      <c r="A35" s="10" t="s">
        <v>38</v>
      </c>
      <c r="B35" s="11">
        <f t="shared" si="0"/>
        <v>15</v>
      </c>
      <c r="C35" s="11" t="str">
        <f>IFERROR(INDEX($K$4:$K$18, MATCH(A35,$L$4:$L$18,0)),"—")</f>
        <v>—</v>
      </c>
      <c r="D35" s="11" t="str">
        <f>IFERROR(INDEX($V$4:$V$18, MATCH(A35,$W$4:$W$18,0)),"—")</f>
        <v>—</v>
      </c>
      <c r="E35" s="11">
        <f t="shared" si="1"/>
        <v>1</v>
      </c>
      <c r="F35" s="36" t="str">
        <f t="shared" si="2"/>
        <v>Insufficient data</v>
      </c>
    </row>
    <row r="36" spans="1:6" x14ac:dyDescent="0.2">
      <c r="A36" s="10" t="s">
        <v>39</v>
      </c>
      <c r="B36" s="11">
        <f t="shared" si="0"/>
        <v>6</v>
      </c>
      <c r="C36" s="11">
        <f>IFERROR(INDEX($K$4:$K$18, MATCH(A36,$L$4:$L$18,0)),"—")</f>
        <v>14</v>
      </c>
      <c r="D36" s="11">
        <f>IFERROR(INDEX($V$4:$V$18, MATCH(A36,$W$4:$W$18,0)),"—")</f>
        <v>12</v>
      </c>
      <c r="E36" s="11">
        <f t="shared" si="1"/>
        <v>3</v>
      </c>
      <c r="F36" s="36">
        <f t="shared" si="2"/>
        <v>10.666666666666666</v>
      </c>
    </row>
    <row r="37" spans="1:6" x14ac:dyDescent="0.2">
      <c r="A37" s="10" t="s">
        <v>40</v>
      </c>
      <c r="B37" s="11">
        <f t="shared" si="0"/>
        <v>7</v>
      </c>
      <c r="C37" s="11" t="str">
        <f>IFERROR(INDEX($K$4:$K$18, MATCH(A37,$L$4:$L$18,0)),"—")</f>
        <v>—</v>
      </c>
      <c r="D37" s="11" t="str">
        <f>IFERROR(INDEX($V$4:$V$18, MATCH(A37,$W$4:$W$18,0)),"—")</f>
        <v>—</v>
      </c>
      <c r="E37" s="11">
        <f t="shared" si="1"/>
        <v>1</v>
      </c>
      <c r="F37" s="36" t="str">
        <f t="shared" si="2"/>
        <v>Insufficient data</v>
      </c>
    </row>
    <row r="38" spans="1:6" x14ac:dyDescent="0.2">
      <c r="A38" s="10" t="s">
        <v>41</v>
      </c>
      <c r="B38" s="11">
        <f t="shared" si="0"/>
        <v>2</v>
      </c>
      <c r="C38" s="11" t="str">
        <f>IFERROR(INDEX($K$4:$K$18, MATCH(A38,$L$4:$L$18,0)),"—")</f>
        <v>—</v>
      </c>
      <c r="D38" s="11">
        <f>IFERROR(INDEX($V$4:$V$18, MATCH(A38,$W$4:$W$18,0)),"—")</f>
        <v>13</v>
      </c>
      <c r="E38" s="11">
        <f t="shared" si="1"/>
        <v>2</v>
      </c>
      <c r="F38" s="36">
        <f t="shared" si="2"/>
        <v>7.5</v>
      </c>
    </row>
    <row r="39" spans="1:6" x14ac:dyDescent="0.2">
      <c r="A39" s="10" t="s">
        <v>42</v>
      </c>
      <c r="B39" s="11">
        <f t="shared" si="0"/>
        <v>4</v>
      </c>
      <c r="C39" s="11" t="str">
        <f>IFERROR(INDEX($K$4:$K$18, MATCH(A39,$L$4:$L$18,0)),"—")</f>
        <v>—</v>
      </c>
      <c r="D39" s="11" t="str">
        <f>IFERROR(INDEX($V$4:$V$18, MATCH(A39,$W$4:$W$18,0)),"—")</f>
        <v>—</v>
      </c>
      <c r="E39" s="11">
        <f t="shared" si="1"/>
        <v>1</v>
      </c>
      <c r="F39" s="36" t="str">
        <f t="shared" si="2"/>
        <v>Insufficient data</v>
      </c>
    </row>
    <row r="40" spans="1:6" x14ac:dyDescent="0.2">
      <c r="A40" s="10" t="s">
        <v>44</v>
      </c>
      <c r="B40" s="11" t="str">
        <f t="shared" si="0"/>
        <v>—</v>
      </c>
      <c r="C40" s="11">
        <f>IFERROR(INDEX($K$4:$K$18, MATCH(A40,$L$4:$L$18,0)),"—")</f>
        <v>1</v>
      </c>
      <c r="D40" s="11" t="str">
        <f>IFERROR(INDEX($V$4:$V$18, MATCH(A40,$W$4:$W$18,0)),"—")</f>
        <v>—</v>
      </c>
      <c r="E40" s="11">
        <f t="shared" si="1"/>
        <v>1</v>
      </c>
      <c r="F40" s="36" t="str">
        <f t="shared" si="2"/>
        <v>Insufficient data</v>
      </c>
    </row>
    <row r="41" spans="1:6" x14ac:dyDescent="0.2">
      <c r="A41" s="10" t="s">
        <v>45</v>
      </c>
      <c r="B41" s="11" t="str">
        <f t="shared" si="0"/>
        <v>—</v>
      </c>
      <c r="C41" s="11">
        <f>IFERROR(INDEX($K$4:$K$18, MATCH(A41,$L$4:$L$18,0)),"—")</f>
        <v>2</v>
      </c>
      <c r="D41" s="11">
        <f>IFERROR(INDEX($V$4:$V$18, MATCH(A41,$W$4:$W$18,0)),"—")</f>
        <v>9</v>
      </c>
      <c r="E41" s="11">
        <f t="shared" si="1"/>
        <v>2</v>
      </c>
      <c r="F41" s="36">
        <f t="shared" si="2"/>
        <v>5.5</v>
      </c>
    </row>
    <row r="42" spans="1:6" x14ac:dyDescent="0.2">
      <c r="A42" s="10" t="s">
        <v>46</v>
      </c>
      <c r="B42" s="11" t="str">
        <f t="shared" si="0"/>
        <v>—</v>
      </c>
      <c r="C42" s="11">
        <f>IFERROR(INDEX($K$4:$K$18, MATCH(A42,$L$4:$L$18,0)),"—")</f>
        <v>3</v>
      </c>
      <c r="D42" s="11" t="str">
        <f>IFERROR(INDEX($V$4:$V$18, MATCH(A42,$W$4:$W$18,0)),"—")</f>
        <v>—</v>
      </c>
      <c r="E42" s="11">
        <f t="shared" si="1"/>
        <v>1</v>
      </c>
      <c r="F42" s="36" t="str">
        <f t="shared" si="2"/>
        <v>Insufficient data</v>
      </c>
    </row>
    <row r="43" spans="1:6" x14ac:dyDescent="0.2">
      <c r="A43" s="10" t="s">
        <v>47</v>
      </c>
      <c r="B43" s="11" t="str">
        <f t="shared" si="0"/>
        <v>—</v>
      </c>
      <c r="C43" s="11">
        <f>IFERROR(INDEX($K$4:$K$18, MATCH(A43,$L$4:$L$18,0)),"—")</f>
        <v>4</v>
      </c>
      <c r="D43" s="11">
        <f>IFERROR(INDEX($V$4:$V$18, MATCH(A43,$W$4:$W$18,0)),"—")</f>
        <v>1</v>
      </c>
      <c r="E43" s="11">
        <f t="shared" si="1"/>
        <v>2</v>
      </c>
      <c r="F43" s="36">
        <f t="shared" si="2"/>
        <v>2.5</v>
      </c>
    </row>
    <row r="44" spans="1:6" x14ac:dyDescent="0.2">
      <c r="A44" s="10" t="s">
        <v>48</v>
      </c>
      <c r="B44" s="11" t="str">
        <f t="shared" si="0"/>
        <v>—</v>
      </c>
      <c r="C44" s="11">
        <f>IFERROR(INDEX($K$4:$K$18, MATCH(A44,$L$4:$L$18,0)),"—")</f>
        <v>5</v>
      </c>
      <c r="D44" s="11" t="str">
        <f>IFERROR(INDEX($V$4:$V$18, MATCH(A44,$W$4:$W$18,0)),"—")</f>
        <v>—</v>
      </c>
      <c r="E44" s="11">
        <f t="shared" si="1"/>
        <v>1</v>
      </c>
      <c r="F44" s="36" t="str">
        <f t="shared" si="2"/>
        <v>Insufficient data</v>
      </c>
    </row>
    <row r="45" spans="1:6" x14ac:dyDescent="0.2">
      <c r="A45" s="10" t="s">
        <v>49</v>
      </c>
      <c r="B45" s="11" t="str">
        <f t="shared" si="0"/>
        <v>—</v>
      </c>
      <c r="C45" s="11">
        <f>IFERROR(INDEX($K$4:$K$18, MATCH(A45,$L$4:$L$18,0)),"—")</f>
        <v>6</v>
      </c>
      <c r="D45" s="11" t="str">
        <f>IFERROR(INDEX($V$4:$V$18, MATCH(A45,$W$4:$W$18,0)),"—")</f>
        <v>—</v>
      </c>
      <c r="E45" s="11">
        <f t="shared" si="1"/>
        <v>1</v>
      </c>
      <c r="F45" s="36" t="str">
        <f t="shared" si="2"/>
        <v>Insufficient data</v>
      </c>
    </row>
    <row r="46" spans="1:6" x14ac:dyDescent="0.2">
      <c r="A46" s="10" t="s">
        <v>50</v>
      </c>
      <c r="B46" s="11" t="str">
        <f t="shared" si="0"/>
        <v>—</v>
      </c>
      <c r="C46" s="11">
        <f>IFERROR(INDEX($K$4:$K$18, MATCH(A46,$L$4:$L$18,0)),"—")</f>
        <v>7</v>
      </c>
      <c r="D46" s="11" t="str">
        <f>IFERROR(INDEX($V$4:$V$18, MATCH(A46,$W$4:$W$18,0)),"—")</f>
        <v>—</v>
      </c>
      <c r="E46" s="11">
        <f t="shared" si="1"/>
        <v>1</v>
      </c>
      <c r="F46" s="36" t="str">
        <f t="shared" si="2"/>
        <v>Insufficient data</v>
      </c>
    </row>
    <row r="47" spans="1:6" x14ac:dyDescent="0.2">
      <c r="A47" s="10" t="s">
        <v>51</v>
      </c>
      <c r="B47" s="11" t="str">
        <f t="shared" si="0"/>
        <v>—</v>
      </c>
      <c r="C47" s="11">
        <f>IFERROR(INDEX($K$4:$K$18, MATCH(A47,$L$4:$L$18,0)),"—")</f>
        <v>8</v>
      </c>
      <c r="D47" s="11" t="str">
        <f>IFERROR(INDEX($V$4:$V$18, MATCH(A47,$W$4:$W$18,0)),"—")</f>
        <v>—</v>
      </c>
      <c r="E47" s="11">
        <f t="shared" si="1"/>
        <v>1</v>
      </c>
      <c r="F47" s="36" t="str">
        <f t="shared" si="2"/>
        <v>Insufficient data</v>
      </c>
    </row>
    <row r="48" spans="1:6" x14ac:dyDescent="0.2">
      <c r="A48" s="10" t="s">
        <v>52</v>
      </c>
      <c r="B48" s="11" t="str">
        <f t="shared" si="0"/>
        <v>—</v>
      </c>
      <c r="C48" s="11">
        <f>IFERROR(INDEX($K$4:$K$18, MATCH(A48,$L$4:$L$18,0)),"—")</f>
        <v>10</v>
      </c>
      <c r="D48" s="11">
        <f>IFERROR(INDEX($V$4:$V$18, MATCH(A48,$W$4:$W$18,0)),"—")</f>
        <v>7</v>
      </c>
      <c r="E48" s="11">
        <f t="shared" si="1"/>
        <v>2</v>
      </c>
      <c r="F48" s="36">
        <f t="shared" si="2"/>
        <v>8.5</v>
      </c>
    </row>
    <row r="49" spans="1:6" x14ac:dyDescent="0.2">
      <c r="A49" s="10" t="s">
        <v>53</v>
      </c>
      <c r="B49" s="11" t="str">
        <f t="shared" si="0"/>
        <v>—</v>
      </c>
      <c r="C49" s="11">
        <f>IFERROR(INDEX($K$4:$K$18, MATCH(A49,$L$4:$L$18,0)),"—")</f>
        <v>11</v>
      </c>
      <c r="D49" s="11" t="str">
        <f>IFERROR(INDEX($V$4:$V$18, MATCH(A49,$W$4:$W$18,0)),"—")</f>
        <v>—</v>
      </c>
      <c r="E49" s="11">
        <f t="shared" si="1"/>
        <v>1</v>
      </c>
      <c r="F49" s="36" t="str">
        <f t="shared" si="2"/>
        <v>Insufficient data</v>
      </c>
    </row>
    <row r="50" spans="1:6" x14ac:dyDescent="0.2">
      <c r="A50" s="10" t="s">
        <v>54</v>
      </c>
      <c r="B50" s="11" t="str">
        <f t="shared" si="0"/>
        <v>—</v>
      </c>
      <c r="C50" s="11">
        <f>IFERROR(INDEX($K$4:$K$18, MATCH(A50,$L$4:$L$18,0)),"—")</f>
        <v>12</v>
      </c>
      <c r="D50" s="11">
        <f>IFERROR(INDEX($V$4:$V$18, MATCH(A50,$W$4:$W$18,0)),"—")</f>
        <v>15</v>
      </c>
      <c r="E50" s="11">
        <f t="shared" si="1"/>
        <v>2</v>
      </c>
      <c r="F50" s="36">
        <f t="shared" si="2"/>
        <v>13.5</v>
      </c>
    </row>
    <row r="51" spans="1:6" x14ac:dyDescent="0.2">
      <c r="A51" s="10" t="s">
        <v>55</v>
      </c>
      <c r="B51" s="11" t="str">
        <f t="shared" si="0"/>
        <v>—</v>
      </c>
      <c r="C51" s="11">
        <f>IFERROR(INDEX($K$4:$K$18, MATCH(A51,$L$4:$L$18,0)),"—")</f>
        <v>13</v>
      </c>
      <c r="D51" s="11" t="str">
        <f>IFERROR(INDEX($V$4:$V$18, MATCH(A51,$W$4:$W$18,0)),"—")</f>
        <v>—</v>
      </c>
      <c r="E51" s="11">
        <f t="shared" si="1"/>
        <v>1</v>
      </c>
      <c r="F51" s="36" t="str">
        <f t="shared" si="2"/>
        <v>Insufficient data</v>
      </c>
    </row>
    <row r="52" spans="1:6" x14ac:dyDescent="0.2">
      <c r="A52" s="10" t="s">
        <v>56</v>
      </c>
      <c r="B52" s="11" t="str">
        <f t="shared" si="0"/>
        <v>—</v>
      </c>
      <c r="C52" s="11">
        <f>IFERROR(INDEX($K$4:$K$18, MATCH(A52,$L$4:$L$18,0)),"—")</f>
        <v>15</v>
      </c>
      <c r="D52" s="11" t="str">
        <f>IFERROR(INDEX($V$4:$V$18, MATCH(A52,$W$4:$W$18,0)),"—")</f>
        <v>—</v>
      </c>
      <c r="E52" s="11">
        <f t="shared" si="1"/>
        <v>1</v>
      </c>
      <c r="F52" s="36" t="str">
        <f t="shared" si="2"/>
        <v>Insufficient data</v>
      </c>
    </row>
    <row r="53" spans="1:6" x14ac:dyDescent="0.2">
      <c r="A53" s="10" t="s">
        <v>58</v>
      </c>
      <c r="B53" s="11" t="str">
        <f t="shared" si="0"/>
        <v>—</v>
      </c>
      <c r="C53" s="11" t="str">
        <f>IFERROR(INDEX($K$4:$K$18, MATCH(A53,$L$4:$L$18,0)),"—")</f>
        <v>—</v>
      </c>
      <c r="D53" s="11">
        <f>IFERROR(INDEX($V$4:$V$18, MATCH(A53,$W$4:$W$18,0)),"—")</f>
        <v>1</v>
      </c>
      <c r="E53" s="11">
        <f t="shared" si="1"/>
        <v>1</v>
      </c>
      <c r="F53" s="36" t="str">
        <f t="shared" si="2"/>
        <v>Insufficient data</v>
      </c>
    </row>
    <row r="54" spans="1:6" x14ac:dyDescent="0.2">
      <c r="A54" s="10" t="s">
        <v>60</v>
      </c>
      <c r="B54" s="11" t="str">
        <f t="shared" si="0"/>
        <v>—</v>
      </c>
      <c r="C54" s="11" t="str">
        <f>IFERROR(INDEX($K$4:$K$18, MATCH(A54,$L$4:$L$18,0)),"—")</f>
        <v>—</v>
      </c>
      <c r="D54" s="11">
        <f>IFERROR(INDEX($V$4:$V$18, MATCH(A54,$W$4:$W$18,0)),"—")</f>
        <v>3</v>
      </c>
      <c r="E54" s="11">
        <f t="shared" si="1"/>
        <v>1</v>
      </c>
      <c r="F54" s="36" t="str">
        <f t="shared" si="2"/>
        <v>Insufficient data</v>
      </c>
    </row>
    <row r="55" spans="1:6" x14ac:dyDescent="0.2">
      <c r="A55" s="10" t="s">
        <v>61</v>
      </c>
      <c r="B55" s="11" t="str">
        <f t="shared" si="0"/>
        <v>—</v>
      </c>
      <c r="C55" s="11" t="str">
        <f>IFERROR(INDEX($K$4:$K$18, MATCH(A55,$L$4:$L$18,0)),"—")</f>
        <v>—</v>
      </c>
      <c r="D55" s="11">
        <f>IFERROR(INDEX($V$4:$V$18, MATCH(A55,$W$4:$W$18,0)),"—")</f>
        <v>4</v>
      </c>
      <c r="E55" s="11">
        <f t="shared" si="1"/>
        <v>1</v>
      </c>
      <c r="F55" s="36" t="str">
        <f t="shared" si="2"/>
        <v>Insufficient data</v>
      </c>
    </row>
    <row r="56" spans="1:6" x14ac:dyDescent="0.2">
      <c r="A56" s="10" t="s">
        <v>62</v>
      </c>
      <c r="B56" s="11" t="str">
        <f t="shared" si="0"/>
        <v>—</v>
      </c>
      <c r="C56" s="11" t="str">
        <f>IFERROR(INDEX($K$4:$K$18, MATCH(A56,$L$4:$L$18,0)),"—")</f>
        <v>—</v>
      </c>
      <c r="D56" s="11">
        <f>IFERROR(INDEX($V$4:$V$18, MATCH(A56,$W$4:$W$18,0)),"—")</f>
        <v>4</v>
      </c>
      <c r="E56" s="11">
        <f t="shared" si="1"/>
        <v>1</v>
      </c>
      <c r="F56" s="36" t="str">
        <f t="shared" si="2"/>
        <v>Insufficient data</v>
      </c>
    </row>
    <row r="57" spans="1:6" x14ac:dyDescent="0.2">
      <c r="A57" s="10" t="s">
        <v>63</v>
      </c>
      <c r="B57" s="11" t="str">
        <f t="shared" si="0"/>
        <v>—</v>
      </c>
      <c r="C57" s="11" t="str">
        <f>IFERROR(INDEX($K$4:$K$18, MATCH(A57,$L$4:$L$18,0)),"—")</f>
        <v>—</v>
      </c>
      <c r="D57" s="11">
        <f>IFERROR(INDEX($V$4:$V$18, MATCH(A57,$W$4:$W$18,0)),"—")</f>
        <v>8</v>
      </c>
      <c r="E57" s="11">
        <f t="shared" si="1"/>
        <v>1</v>
      </c>
      <c r="F57" s="36" t="str">
        <f t="shared" si="2"/>
        <v>Insufficient data</v>
      </c>
    </row>
    <row r="58" spans="1:6" x14ac:dyDescent="0.2">
      <c r="A58" s="10" t="s">
        <v>1</v>
      </c>
      <c r="B58" s="11" t="str">
        <f t="shared" si="0"/>
        <v>—</v>
      </c>
      <c r="C58" s="11" t="str">
        <f>IFERROR(INDEX($K$4:$K$18, MATCH(A58,$L$4:$L$18,0)),"—")</f>
        <v>—</v>
      </c>
      <c r="D58" s="11">
        <f>IFERROR(INDEX($V$4:$V$18, MATCH(A58,$W$4:$W$18,0)),"—")</f>
        <v>11</v>
      </c>
      <c r="E58" s="11">
        <f t="shared" si="1"/>
        <v>1</v>
      </c>
      <c r="F58" s="36" t="str">
        <f t="shared" si="2"/>
        <v>Insufficient data</v>
      </c>
    </row>
    <row r="59" spans="1:6" x14ac:dyDescent="0.2">
      <c r="A59" s="13" t="s">
        <v>65</v>
      </c>
      <c r="B59" s="14" t="str">
        <f t="shared" si="0"/>
        <v>—</v>
      </c>
      <c r="C59" s="14" t="str">
        <f>IFERROR(INDEX($K$4:$K$18, MATCH(A59,$L$4:$L$18,0)),"—")</f>
        <v>—</v>
      </c>
      <c r="D59" s="14">
        <f>IFERROR(INDEX($V$4:$V$18, MATCH(A59,$W$4:$W$18,0)),"—")</f>
        <v>14</v>
      </c>
      <c r="E59" s="14">
        <f t="shared" si="1"/>
        <v>1</v>
      </c>
      <c r="F59" s="36" t="str">
        <f t="shared" si="2"/>
        <v>Insufficient data</v>
      </c>
    </row>
  </sheetData>
  <mergeCells count="4">
    <mergeCell ref="A1:H1"/>
    <mergeCell ref="K1:S1"/>
    <mergeCell ref="V1:AE1"/>
    <mergeCell ref="A22:H22"/>
  </mergeCells>
  <conditionalFormatting sqref="F1:F21 F23:F24 F60:F1048576">
    <cfRule type="colorScale" priority="1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1:D21 D23 D24:E24 D70:D1048576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{FCFD7A94-308F-5643-AAB9-CAF7F7B09C32}</x14:id>
        </ext>
      </extLst>
    </cfRule>
  </conditionalFormatting>
  <conditionalFormatting sqref="C1:C21 C23:C24 C70:C1048576">
    <cfRule type="dataBar" priority="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{FA2E7D8D-3C93-6243-AF05-67A443C4DAD8}</x14:id>
        </ext>
      </extLst>
    </cfRule>
  </conditionalFormatting>
  <conditionalFormatting sqref="S1:S1048576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{FE99AF01-FFB3-3340-B009-B2792F66F626}</x14:id>
        </ext>
      </extLst>
    </cfRule>
  </conditionalFormatting>
  <conditionalFormatting sqref="P1:P1048576">
    <cfRule type="colorScale" priority="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B1:AB1048576">
    <cfRule type="dataBar" priority="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{A03EC78A-E043-DF41-9C8B-8281D8ECB6DC}</x14:id>
        </ext>
      </extLst>
    </cfRule>
  </conditionalFormatting>
  <conditionalFormatting sqref="AE1:AE1048576">
    <cfRule type="containsText" dxfId="22" priority="2" operator="containsText" text="Balanced">
      <formula>NOT(ISERROR(SEARCH("Balanced",AE1)))</formula>
    </cfRule>
    <cfRule type="containsText" dxfId="21" priority="3" operator="containsText" text="Heavy Delivery">
      <formula>NOT(ISERROR(SEARCH("Heavy Delivery",AE1)))</formula>
    </cfRule>
  </conditionalFormatting>
  <conditionalFormatting sqref="AI3:AI18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CFD7A94-308F-5643-AAB9-CAF7F7B09C3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D1:D21 D23 D24:E24 D70:D1048576</xm:sqref>
        </x14:conditionalFormatting>
        <x14:conditionalFormatting xmlns:xm="http://schemas.microsoft.com/office/excel/2006/main">
          <x14:cfRule type="dataBar" id="{FA2E7D8D-3C93-6243-AF05-67A443C4DAD8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C1:C21 C23:C24 C70:C1048576</xm:sqref>
        </x14:conditionalFormatting>
        <x14:conditionalFormatting xmlns:xm="http://schemas.microsoft.com/office/excel/2006/main">
          <x14:cfRule type="dataBar" id="{FE99AF01-FFB3-3340-B009-B2792F66F62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S1:S1048576</xm:sqref>
        </x14:conditionalFormatting>
        <x14:conditionalFormatting xmlns:xm="http://schemas.microsoft.com/office/excel/2006/main">
          <x14:cfRule type="dataBar" id="{A03EC78A-E043-DF41-9C8B-8281D8ECB6DC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AB1:AB1048576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2E6480-02DF-9446-929B-3C11AAE2532C}">
  <dimension ref="A1:AW40"/>
  <sheetViews>
    <sheetView topLeftCell="O1" zoomScale="109" zoomScaleNormal="90" workbookViewId="0">
      <pane ySplit="5" topLeftCell="A26" activePane="bottomLeft" state="frozen"/>
      <selection pane="bottomLeft" activeCell="Q36" sqref="Q36"/>
    </sheetView>
  </sheetViews>
  <sheetFormatPr baseColWidth="10" defaultRowHeight="16" x14ac:dyDescent="0.2"/>
  <cols>
    <col min="1" max="1" width="19.6640625" bestFit="1" customWidth="1"/>
    <col min="2" max="2" width="18.6640625" bestFit="1" customWidth="1"/>
    <col min="3" max="3" width="25.1640625" bestFit="1" customWidth="1"/>
    <col min="4" max="4" width="17.83203125" bestFit="1" customWidth="1"/>
    <col min="5" max="5" width="22.83203125" bestFit="1" customWidth="1"/>
    <col min="6" max="6" width="19.33203125" bestFit="1" customWidth="1"/>
    <col min="9" max="9" width="18.6640625" bestFit="1" customWidth="1"/>
    <col min="10" max="10" width="21.83203125" bestFit="1" customWidth="1"/>
    <col min="11" max="11" width="20.6640625" bestFit="1" customWidth="1"/>
    <col min="12" max="12" width="31.33203125" bestFit="1" customWidth="1"/>
    <col min="13" max="13" width="24.1640625" bestFit="1" customWidth="1"/>
    <col min="14" max="14" width="10.83203125" style="2"/>
    <col min="16" max="16" width="17" bestFit="1" customWidth="1"/>
    <col min="17" max="17" width="13.33203125" bestFit="1" customWidth="1"/>
    <col min="18" max="18" width="17" bestFit="1" customWidth="1"/>
    <col min="19" max="19" width="12.1640625" bestFit="1" customWidth="1"/>
    <col min="20" max="20" width="13" bestFit="1" customWidth="1"/>
    <col min="21" max="21" width="11" bestFit="1" customWidth="1"/>
    <col min="22" max="22" width="17" bestFit="1" customWidth="1"/>
    <col min="23" max="23" width="9.5" bestFit="1" customWidth="1"/>
    <col min="24" max="24" width="10.5" bestFit="1" customWidth="1"/>
    <col min="25" max="25" width="22.33203125" bestFit="1" customWidth="1"/>
    <col min="26" max="26" width="21.6640625" bestFit="1" customWidth="1"/>
    <col min="27" max="27" width="16.6640625" bestFit="1" customWidth="1"/>
    <col min="28" max="28" width="20" bestFit="1" customWidth="1"/>
    <col min="29" max="29" width="18.1640625" bestFit="1" customWidth="1"/>
    <col min="30" max="30" width="10.33203125" bestFit="1" customWidth="1"/>
    <col min="31" max="31" width="16.33203125" bestFit="1" customWidth="1"/>
    <col min="32" max="32" width="21.83203125" bestFit="1" customWidth="1"/>
    <col min="35" max="35" width="13.33203125" bestFit="1" customWidth="1"/>
    <col min="36" max="36" width="16.5" bestFit="1" customWidth="1"/>
    <col min="37" max="37" width="17" bestFit="1" customWidth="1"/>
    <col min="38" max="38" width="12.1640625" bestFit="1" customWidth="1"/>
    <col min="39" max="39" width="11" bestFit="1" customWidth="1"/>
    <col min="40" max="40" width="17" bestFit="1" customWidth="1"/>
    <col min="41" max="41" width="9.5" bestFit="1" customWidth="1"/>
    <col min="42" max="42" width="10.5" bestFit="1" customWidth="1"/>
    <col min="43" max="43" width="22.33203125" bestFit="1" customWidth="1"/>
    <col min="44" max="44" width="21.6640625" bestFit="1" customWidth="1"/>
    <col min="45" max="45" width="20" bestFit="1" customWidth="1"/>
    <col min="46" max="46" width="18.1640625" bestFit="1" customWidth="1"/>
    <col min="47" max="47" width="10.33203125" bestFit="1" customWidth="1"/>
    <col min="48" max="48" width="16.33203125" bestFit="1" customWidth="1"/>
    <col min="49" max="49" width="10.83203125" style="2"/>
  </cols>
  <sheetData>
    <row r="1" spans="1:48" ht="19" x14ac:dyDescent="0.25">
      <c r="A1" s="1" t="s">
        <v>71</v>
      </c>
      <c r="B1" s="1"/>
      <c r="C1" s="1"/>
      <c r="D1" s="1"/>
      <c r="E1" s="1"/>
      <c r="F1" s="1"/>
      <c r="G1" s="1"/>
      <c r="H1" s="1"/>
      <c r="I1" s="1"/>
      <c r="P1" s="5" t="s">
        <v>99</v>
      </c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6"/>
      <c r="AE1" s="6"/>
      <c r="AF1" s="6"/>
    </row>
    <row r="3" spans="1:48" x14ac:dyDescent="0.2">
      <c r="C3" s="4" t="s">
        <v>78</v>
      </c>
      <c r="K3" s="4" t="s">
        <v>77</v>
      </c>
      <c r="V3" s="4" t="s">
        <v>78</v>
      </c>
      <c r="AO3" s="4" t="s">
        <v>77</v>
      </c>
    </row>
    <row r="5" spans="1:48" ht="19" x14ac:dyDescent="0.25">
      <c r="A5" s="7" t="s">
        <v>133</v>
      </c>
      <c r="B5" s="8" t="s">
        <v>171</v>
      </c>
      <c r="C5" s="8" t="s">
        <v>172</v>
      </c>
      <c r="D5" s="8" t="s">
        <v>158</v>
      </c>
      <c r="E5" s="8" t="s">
        <v>236</v>
      </c>
      <c r="F5" s="9" t="s">
        <v>173</v>
      </c>
      <c r="I5" s="7" t="s">
        <v>171</v>
      </c>
      <c r="J5" s="8" t="s">
        <v>174</v>
      </c>
      <c r="K5" s="8" t="s">
        <v>175</v>
      </c>
      <c r="L5" s="8" t="s">
        <v>176</v>
      </c>
      <c r="M5" s="9" t="s">
        <v>177</v>
      </c>
      <c r="P5" s="7" t="s">
        <v>178</v>
      </c>
      <c r="Q5" s="8" t="s">
        <v>179</v>
      </c>
      <c r="R5" s="8" t="s">
        <v>180</v>
      </c>
      <c r="S5" s="8" t="s">
        <v>181</v>
      </c>
      <c r="T5" s="8" t="s">
        <v>182</v>
      </c>
      <c r="U5" s="8" t="s">
        <v>160</v>
      </c>
      <c r="V5" s="8" t="s">
        <v>168</v>
      </c>
      <c r="W5" s="8" t="s">
        <v>164</v>
      </c>
      <c r="X5" s="8" t="s">
        <v>159</v>
      </c>
      <c r="Y5" s="8" t="s">
        <v>224</v>
      </c>
      <c r="Z5" s="8" t="s">
        <v>230</v>
      </c>
      <c r="AA5" s="8" t="s">
        <v>223</v>
      </c>
      <c r="AB5" s="8" t="s">
        <v>183</v>
      </c>
      <c r="AC5" s="8" t="s">
        <v>184</v>
      </c>
      <c r="AD5" s="8" t="s">
        <v>237</v>
      </c>
      <c r="AE5" s="8" t="s">
        <v>238</v>
      </c>
      <c r="AF5" s="9" t="s">
        <v>174</v>
      </c>
      <c r="AI5" s="7" t="s">
        <v>179</v>
      </c>
      <c r="AJ5" s="8" t="s">
        <v>178</v>
      </c>
      <c r="AK5" s="8" t="s">
        <v>180</v>
      </c>
      <c r="AL5" s="8" t="s">
        <v>181</v>
      </c>
      <c r="AM5" s="8" t="s">
        <v>160</v>
      </c>
      <c r="AN5" s="8" t="s">
        <v>168</v>
      </c>
      <c r="AO5" s="8" t="s">
        <v>164</v>
      </c>
      <c r="AP5" s="8" t="s">
        <v>159</v>
      </c>
      <c r="AQ5" s="8" t="s">
        <v>224</v>
      </c>
      <c r="AR5" s="8" t="s">
        <v>230</v>
      </c>
      <c r="AS5" s="8" t="s">
        <v>183</v>
      </c>
      <c r="AT5" s="8" t="s">
        <v>184</v>
      </c>
      <c r="AU5" s="8" t="s">
        <v>237</v>
      </c>
      <c r="AV5" s="9" t="s">
        <v>238</v>
      </c>
    </row>
    <row r="6" spans="1:48" x14ac:dyDescent="0.2">
      <c r="A6" s="10" t="s">
        <v>39</v>
      </c>
      <c r="B6" s="11" t="s">
        <v>17</v>
      </c>
      <c r="C6" s="25">
        <v>467</v>
      </c>
      <c r="D6" s="25">
        <v>1236</v>
      </c>
      <c r="E6" s="11">
        <v>37.799999999999997</v>
      </c>
      <c r="F6" s="12">
        <v>3.64</v>
      </c>
      <c r="I6" s="10" t="s">
        <v>17</v>
      </c>
      <c r="J6" s="11">
        <v>61</v>
      </c>
      <c r="K6" s="11">
        <v>65.599999999999994</v>
      </c>
      <c r="L6" s="25">
        <v>10829</v>
      </c>
      <c r="M6" s="12">
        <v>178</v>
      </c>
      <c r="P6" s="10">
        <v>1</v>
      </c>
      <c r="Q6" s="11">
        <v>39</v>
      </c>
      <c r="R6" s="11" t="s">
        <v>17</v>
      </c>
      <c r="S6" s="25">
        <v>12117</v>
      </c>
      <c r="T6" s="25">
        <v>9692</v>
      </c>
      <c r="U6" s="11">
        <v>3.59</v>
      </c>
      <c r="V6" s="11">
        <v>-0.11</v>
      </c>
      <c r="W6" s="11">
        <v>589</v>
      </c>
      <c r="X6" s="11">
        <v>266</v>
      </c>
      <c r="Y6" s="11">
        <v>64.400000000000006</v>
      </c>
      <c r="Z6" s="11">
        <v>60.1</v>
      </c>
      <c r="AA6" s="11">
        <v>20</v>
      </c>
      <c r="AB6" s="11">
        <v>8.7200000000000006</v>
      </c>
      <c r="AC6" s="11" t="s">
        <v>79</v>
      </c>
      <c r="AD6" s="11">
        <f>P6-Q6</f>
        <v>-38</v>
      </c>
      <c r="AE6" s="11" t="str">
        <f>IF(AD6&lt;=-15,"Overrated",IF(AD6&gt;=15,"Hidden gem","Balanced"))</f>
        <v>Overrated</v>
      </c>
      <c r="AF6" s="12">
        <f>IFERROR(VLOOKUP(R6,q7b_cuisine_dominance_summary,2,FALSE),"—")</f>
        <v>61</v>
      </c>
      <c r="AI6" s="16">
        <v>1</v>
      </c>
      <c r="AJ6" s="17">
        <v>38</v>
      </c>
      <c r="AK6" s="17" t="s">
        <v>89</v>
      </c>
      <c r="AL6" s="27">
        <v>111</v>
      </c>
      <c r="AM6" s="37">
        <v>4.3099999999999996</v>
      </c>
      <c r="AN6" s="17">
        <v>0.61</v>
      </c>
      <c r="AO6" s="39">
        <v>1527</v>
      </c>
      <c r="AP6" s="17">
        <v>1048</v>
      </c>
      <c r="AQ6" s="17">
        <v>100</v>
      </c>
      <c r="AR6" s="17">
        <v>27</v>
      </c>
      <c r="AS6" s="17">
        <v>13.03</v>
      </c>
      <c r="AT6" s="17" t="s">
        <v>83</v>
      </c>
      <c r="AU6" s="17">
        <f>AJ6-AI6</f>
        <v>37</v>
      </c>
      <c r="AV6" s="18" t="str">
        <f>IF(AU6&lt;=-15,"Overrated",IF(AU6&gt;=15,"Hidden gem","Balanced"))</f>
        <v>Hidden gem</v>
      </c>
    </row>
    <row r="7" spans="1:48" x14ac:dyDescent="0.2">
      <c r="A7" s="10" t="s">
        <v>37</v>
      </c>
      <c r="B7" s="11" t="s">
        <v>17</v>
      </c>
      <c r="C7" s="25">
        <v>461</v>
      </c>
      <c r="D7" s="25">
        <v>1268</v>
      </c>
      <c r="E7" s="11">
        <v>36.4</v>
      </c>
      <c r="F7" s="12">
        <v>3.46</v>
      </c>
      <c r="I7" s="10" t="s">
        <v>69</v>
      </c>
      <c r="J7" s="11">
        <v>14</v>
      </c>
      <c r="K7" s="11">
        <v>15.1</v>
      </c>
      <c r="L7" s="25">
        <v>948</v>
      </c>
      <c r="M7" s="12">
        <v>68</v>
      </c>
      <c r="P7" s="10">
        <v>2</v>
      </c>
      <c r="Q7" s="11">
        <v>39</v>
      </c>
      <c r="R7" s="11" t="s">
        <v>69</v>
      </c>
      <c r="S7" s="25">
        <v>4982</v>
      </c>
      <c r="T7" s="25">
        <v>3537</v>
      </c>
      <c r="U7" s="11">
        <v>3.59</v>
      </c>
      <c r="V7" s="11">
        <v>-0.11</v>
      </c>
      <c r="W7" s="11">
        <v>329</v>
      </c>
      <c r="X7" s="11">
        <v>88</v>
      </c>
      <c r="Y7" s="11">
        <v>65.7</v>
      </c>
      <c r="Z7" s="11">
        <v>49.4</v>
      </c>
      <c r="AA7" s="11">
        <v>29</v>
      </c>
      <c r="AB7" s="11">
        <v>7</v>
      </c>
      <c r="AC7" s="11" t="s">
        <v>79</v>
      </c>
      <c r="AD7" s="11">
        <f t="shared" ref="AD7:AD20" si="0">P7-Q7</f>
        <v>-37</v>
      </c>
      <c r="AE7" s="11" t="str">
        <f t="shared" ref="AE7:AE20" si="1">IF(AD7&lt;=-15,"Overrated",IF(AD7&gt;=15,"Hidden gem","Balanced"))</f>
        <v>Overrated</v>
      </c>
      <c r="AF7" s="12">
        <f>IFERROR(VLOOKUP(R7,q7b_cuisine_dominance_summary,2,FALSE),"—")</f>
        <v>14</v>
      </c>
      <c r="AI7" s="16">
        <v>2</v>
      </c>
      <c r="AJ7" s="17">
        <v>28</v>
      </c>
      <c r="AK7" s="17" t="s">
        <v>10</v>
      </c>
      <c r="AL7" s="27">
        <v>245</v>
      </c>
      <c r="AM7" s="37">
        <v>4.26</v>
      </c>
      <c r="AN7" s="17">
        <v>0.56000000000000005</v>
      </c>
      <c r="AO7" s="39">
        <v>1778</v>
      </c>
      <c r="AP7" s="17">
        <v>1527</v>
      </c>
      <c r="AQ7" s="17">
        <v>98.7</v>
      </c>
      <c r="AR7" s="17">
        <v>40.4</v>
      </c>
      <c r="AS7" s="17">
        <v>13.57</v>
      </c>
      <c r="AT7" s="17" t="s">
        <v>83</v>
      </c>
      <c r="AU7" s="17">
        <f t="shared" ref="AU7:AU20" si="2">AJ7-AI7</f>
        <v>26</v>
      </c>
      <c r="AV7" s="18" t="str">
        <f t="shared" ref="AV7:AV20" si="3">IF(AU7&lt;=-15,"Overrated",IF(AU7&gt;=15,"Hidden gem","Balanced"))</f>
        <v>Hidden gem</v>
      </c>
    </row>
    <row r="8" spans="1:48" x14ac:dyDescent="0.2">
      <c r="A8" s="10" t="s">
        <v>9</v>
      </c>
      <c r="B8" s="11" t="s">
        <v>17</v>
      </c>
      <c r="C8" s="25">
        <v>649</v>
      </c>
      <c r="D8" s="25">
        <v>1805</v>
      </c>
      <c r="E8" s="11">
        <v>36</v>
      </c>
      <c r="F8" s="12">
        <v>3.51</v>
      </c>
      <c r="I8" s="10" t="s">
        <v>14</v>
      </c>
      <c r="J8" s="11">
        <v>6</v>
      </c>
      <c r="K8" s="11">
        <v>6.5</v>
      </c>
      <c r="L8" s="25">
        <v>653</v>
      </c>
      <c r="M8" s="12">
        <v>109</v>
      </c>
      <c r="P8" s="10">
        <v>3</v>
      </c>
      <c r="Q8" s="11">
        <v>16</v>
      </c>
      <c r="R8" s="11" t="s">
        <v>14</v>
      </c>
      <c r="S8" s="25">
        <v>4281</v>
      </c>
      <c r="T8" s="25">
        <v>3949</v>
      </c>
      <c r="U8" s="11">
        <v>3.87</v>
      </c>
      <c r="V8" s="11">
        <v>0.17</v>
      </c>
      <c r="W8" s="11">
        <v>627</v>
      </c>
      <c r="X8" s="11">
        <v>435</v>
      </c>
      <c r="Y8" s="11">
        <v>85.8</v>
      </c>
      <c r="Z8" s="11">
        <v>61.8</v>
      </c>
      <c r="AA8" s="11">
        <v>7.8</v>
      </c>
      <c r="AB8" s="11">
        <v>10.220000000000001</v>
      </c>
      <c r="AC8" s="11" t="s">
        <v>80</v>
      </c>
      <c r="AD8" s="11">
        <f t="shared" si="0"/>
        <v>-13</v>
      </c>
      <c r="AE8" s="11" t="str">
        <f t="shared" si="1"/>
        <v>Balanced</v>
      </c>
      <c r="AF8" s="12">
        <f>IFERROR(VLOOKUP(R8,q7b_cuisine_dominance_summary,2,FALSE),"—")</f>
        <v>6</v>
      </c>
      <c r="AI8" s="16">
        <v>3</v>
      </c>
      <c r="AJ8" s="17">
        <v>40</v>
      </c>
      <c r="AK8" s="17" t="s">
        <v>90</v>
      </c>
      <c r="AL8" s="27">
        <v>107</v>
      </c>
      <c r="AM8" s="37">
        <v>4.2</v>
      </c>
      <c r="AN8" s="17">
        <v>0.5</v>
      </c>
      <c r="AO8" s="39">
        <v>1304</v>
      </c>
      <c r="AP8" s="17">
        <v>1221</v>
      </c>
      <c r="AQ8" s="17">
        <v>100</v>
      </c>
      <c r="AR8" s="17">
        <v>37.4</v>
      </c>
      <c r="AS8" s="17">
        <v>12.95</v>
      </c>
      <c r="AT8" s="17" t="s">
        <v>83</v>
      </c>
      <c r="AU8" s="17">
        <f t="shared" si="2"/>
        <v>37</v>
      </c>
      <c r="AV8" s="18" t="str">
        <f t="shared" si="3"/>
        <v>Hidden gem</v>
      </c>
    </row>
    <row r="9" spans="1:48" x14ac:dyDescent="0.2">
      <c r="A9" s="10" t="s">
        <v>34</v>
      </c>
      <c r="B9" s="11" t="s">
        <v>17</v>
      </c>
      <c r="C9" s="25">
        <v>663</v>
      </c>
      <c r="D9" s="25">
        <v>2105</v>
      </c>
      <c r="E9" s="11">
        <v>31.5</v>
      </c>
      <c r="F9" s="12">
        <v>3.51</v>
      </c>
      <c r="I9" s="10" t="s">
        <v>72</v>
      </c>
      <c r="J9" s="11">
        <v>4</v>
      </c>
      <c r="K9" s="11">
        <v>4.3</v>
      </c>
      <c r="L9" s="25">
        <v>36</v>
      </c>
      <c r="M9" s="12">
        <v>9</v>
      </c>
      <c r="P9" s="10">
        <v>4</v>
      </c>
      <c r="Q9" s="11">
        <v>30</v>
      </c>
      <c r="R9" s="11" t="s">
        <v>73</v>
      </c>
      <c r="S9" s="25">
        <v>3040</v>
      </c>
      <c r="T9" s="25">
        <v>2522</v>
      </c>
      <c r="U9" s="11">
        <v>3.65</v>
      </c>
      <c r="V9" s="11">
        <v>-0.05</v>
      </c>
      <c r="W9" s="11">
        <v>600</v>
      </c>
      <c r="X9" s="11">
        <v>232</v>
      </c>
      <c r="Y9" s="11">
        <v>68.8</v>
      </c>
      <c r="Z9" s="11">
        <v>64.900000000000006</v>
      </c>
      <c r="AA9" s="11">
        <v>17</v>
      </c>
      <c r="AB9" s="11">
        <v>8.64</v>
      </c>
      <c r="AC9" s="11" t="s">
        <v>79</v>
      </c>
      <c r="AD9" s="11">
        <f t="shared" si="0"/>
        <v>-26</v>
      </c>
      <c r="AE9" s="11" t="str">
        <f t="shared" si="1"/>
        <v>Overrated</v>
      </c>
      <c r="AF9" s="12">
        <f>IFERROR(VLOOKUP(R9,q7b_cuisine_dominance_summary,2,FALSE),"—")</f>
        <v>3</v>
      </c>
      <c r="AI9" s="16">
        <v>4</v>
      </c>
      <c r="AJ9" s="17">
        <v>37</v>
      </c>
      <c r="AK9" s="17" t="s">
        <v>91</v>
      </c>
      <c r="AL9" s="27">
        <v>117</v>
      </c>
      <c r="AM9" s="37">
        <v>4.1900000000000004</v>
      </c>
      <c r="AN9" s="17">
        <v>0.49</v>
      </c>
      <c r="AO9" s="39">
        <v>1893</v>
      </c>
      <c r="AP9" s="17">
        <v>879</v>
      </c>
      <c r="AQ9" s="17">
        <v>98.2</v>
      </c>
      <c r="AR9" s="17">
        <v>49.6</v>
      </c>
      <c r="AS9" s="17">
        <v>12.33</v>
      </c>
      <c r="AT9" s="17" t="s">
        <v>83</v>
      </c>
      <c r="AU9" s="17">
        <f t="shared" si="2"/>
        <v>33</v>
      </c>
      <c r="AV9" s="18" t="str">
        <f t="shared" si="3"/>
        <v>Hidden gem</v>
      </c>
    </row>
    <row r="10" spans="1:48" x14ac:dyDescent="0.2">
      <c r="A10" s="10" t="s">
        <v>38</v>
      </c>
      <c r="B10" s="11" t="s">
        <v>17</v>
      </c>
      <c r="C10" s="25">
        <v>378</v>
      </c>
      <c r="D10" s="25">
        <v>1246</v>
      </c>
      <c r="E10" s="11">
        <v>30.3</v>
      </c>
      <c r="F10" s="12">
        <v>3.45</v>
      </c>
      <c r="I10" s="10" t="s">
        <v>73</v>
      </c>
      <c r="J10" s="11">
        <v>3</v>
      </c>
      <c r="K10" s="11">
        <v>3.2</v>
      </c>
      <c r="L10" s="25">
        <v>14</v>
      </c>
      <c r="M10" s="12">
        <v>5</v>
      </c>
      <c r="P10" s="10">
        <v>5</v>
      </c>
      <c r="Q10" s="11">
        <v>44</v>
      </c>
      <c r="R10" s="11" t="s">
        <v>75</v>
      </c>
      <c r="S10" s="25">
        <v>3011</v>
      </c>
      <c r="T10" s="25">
        <v>2197</v>
      </c>
      <c r="U10" s="11">
        <v>3.54</v>
      </c>
      <c r="V10" s="11">
        <v>-0.16</v>
      </c>
      <c r="W10" s="11">
        <v>416</v>
      </c>
      <c r="X10" s="11">
        <v>187</v>
      </c>
      <c r="Y10" s="11">
        <v>57.2</v>
      </c>
      <c r="Z10" s="11">
        <v>64.3</v>
      </c>
      <c r="AA10" s="11">
        <v>27</v>
      </c>
      <c r="AB10" s="11">
        <v>8.0399999999999991</v>
      </c>
      <c r="AC10" s="11" t="s">
        <v>79</v>
      </c>
      <c r="AD10" s="11">
        <f t="shared" si="0"/>
        <v>-39</v>
      </c>
      <c r="AE10" s="11" t="str">
        <f t="shared" si="1"/>
        <v>Overrated</v>
      </c>
      <c r="AF10" s="12">
        <f>IFERROR(VLOOKUP(R10,q7b_cuisine_dominance_summary,2,FALSE),"—")</f>
        <v>1</v>
      </c>
      <c r="AI10" s="16">
        <v>5</v>
      </c>
      <c r="AJ10" s="17">
        <v>20</v>
      </c>
      <c r="AK10" s="17" t="s">
        <v>22</v>
      </c>
      <c r="AL10" s="27">
        <v>532</v>
      </c>
      <c r="AM10" s="37">
        <v>4.16</v>
      </c>
      <c r="AN10" s="17">
        <v>0.46</v>
      </c>
      <c r="AO10" s="39">
        <v>1194</v>
      </c>
      <c r="AP10" s="17">
        <v>1580</v>
      </c>
      <c r="AQ10" s="17">
        <v>95.7</v>
      </c>
      <c r="AR10" s="17">
        <v>59.2</v>
      </c>
      <c r="AS10" s="17">
        <v>13.31</v>
      </c>
      <c r="AT10" s="17" t="s">
        <v>83</v>
      </c>
      <c r="AU10" s="17">
        <f t="shared" si="2"/>
        <v>15</v>
      </c>
      <c r="AV10" s="18" t="str">
        <f t="shared" si="3"/>
        <v>Hidden gem</v>
      </c>
    </row>
    <row r="11" spans="1:48" x14ac:dyDescent="0.2">
      <c r="A11" s="10" t="s">
        <v>19</v>
      </c>
      <c r="B11" s="11" t="s">
        <v>17</v>
      </c>
      <c r="C11" s="25">
        <v>1480</v>
      </c>
      <c r="D11" s="25">
        <v>5056</v>
      </c>
      <c r="E11" s="11">
        <v>29.3</v>
      </c>
      <c r="F11" s="12">
        <v>3.45</v>
      </c>
      <c r="I11" s="10" t="s">
        <v>22</v>
      </c>
      <c r="J11" s="11">
        <v>1</v>
      </c>
      <c r="K11" s="11">
        <v>1.1000000000000001</v>
      </c>
      <c r="L11" s="25">
        <v>6</v>
      </c>
      <c r="M11" s="12">
        <v>6</v>
      </c>
      <c r="P11" s="10">
        <v>6</v>
      </c>
      <c r="Q11" s="11">
        <v>45</v>
      </c>
      <c r="R11" s="11" t="s">
        <v>72</v>
      </c>
      <c r="S11" s="25">
        <v>2559</v>
      </c>
      <c r="T11" s="25">
        <v>1871</v>
      </c>
      <c r="U11" s="11">
        <v>3.53</v>
      </c>
      <c r="V11" s="11">
        <v>-0.17</v>
      </c>
      <c r="W11" s="11">
        <v>302</v>
      </c>
      <c r="X11" s="11">
        <v>58</v>
      </c>
      <c r="Y11" s="11">
        <v>62.5</v>
      </c>
      <c r="Z11" s="11">
        <v>62.3</v>
      </c>
      <c r="AA11" s="11">
        <v>26.9</v>
      </c>
      <c r="AB11" s="11">
        <v>6.25</v>
      </c>
      <c r="AC11" s="11" t="s">
        <v>79</v>
      </c>
      <c r="AD11" s="11">
        <f t="shared" si="0"/>
        <v>-39</v>
      </c>
      <c r="AE11" s="11" t="str">
        <f t="shared" si="1"/>
        <v>Overrated</v>
      </c>
      <c r="AF11" s="12">
        <f>IFERROR(VLOOKUP(R11,q7b_cuisine_dominance_summary,2,FALSE),"—")</f>
        <v>4</v>
      </c>
      <c r="AI11" s="16">
        <v>6</v>
      </c>
      <c r="AJ11" s="17">
        <v>23</v>
      </c>
      <c r="AK11" s="17" t="s">
        <v>92</v>
      </c>
      <c r="AL11" s="27">
        <v>407</v>
      </c>
      <c r="AM11" s="37">
        <v>4.1500000000000004</v>
      </c>
      <c r="AN11" s="17">
        <v>0.45</v>
      </c>
      <c r="AO11" s="39">
        <v>1254</v>
      </c>
      <c r="AP11" s="17">
        <v>836</v>
      </c>
      <c r="AQ11" s="17">
        <v>88.6</v>
      </c>
      <c r="AR11" s="17">
        <v>62.9</v>
      </c>
      <c r="AS11" s="17">
        <v>12.12</v>
      </c>
      <c r="AT11" s="17" t="s">
        <v>83</v>
      </c>
      <c r="AU11" s="17">
        <f t="shared" si="2"/>
        <v>17</v>
      </c>
      <c r="AV11" s="18" t="str">
        <f t="shared" si="3"/>
        <v>Hidden gem</v>
      </c>
    </row>
    <row r="12" spans="1:48" x14ac:dyDescent="0.2">
      <c r="A12" s="10" t="s">
        <v>36</v>
      </c>
      <c r="B12" s="11" t="s">
        <v>17</v>
      </c>
      <c r="C12" s="25">
        <v>408</v>
      </c>
      <c r="D12" s="25">
        <v>1609</v>
      </c>
      <c r="E12" s="11">
        <v>25.4</v>
      </c>
      <c r="F12" s="12">
        <v>3.47</v>
      </c>
      <c r="I12" s="10" t="s">
        <v>7</v>
      </c>
      <c r="J12" s="11">
        <v>1</v>
      </c>
      <c r="K12" s="11">
        <v>1.1000000000000001</v>
      </c>
      <c r="L12" s="25">
        <v>22</v>
      </c>
      <c r="M12" s="12">
        <v>22</v>
      </c>
      <c r="P12" s="10">
        <v>7</v>
      </c>
      <c r="Q12" s="11">
        <v>33</v>
      </c>
      <c r="R12" s="11" t="s">
        <v>81</v>
      </c>
      <c r="S12" s="25">
        <v>2157</v>
      </c>
      <c r="T12" s="25">
        <v>1447</v>
      </c>
      <c r="U12" s="11">
        <v>3.63</v>
      </c>
      <c r="V12" s="11">
        <v>-7.0000000000000007E-2</v>
      </c>
      <c r="W12" s="11">
        <v>388</v>
      </c>
      <c r="X12" s="11">
        <v>74</v>
      </c>
      <c r="Y12" s="11">
        <v>69</v>
      </c>
      <c r="Z12" s="11">
        <v>47.1</v>
      </c>
      <c r="AA12" s="11">
        <v>32.9</v>
      </c>
      <c r="AB12" s="11">
        <v>6.8</v>
      </c>
      <c r="AC12" s="11" t="s">
        <v>79</v>
      </c>
      <c r="AD12" s="11">
        <f t="shared" si="0"/>
        <v>-26</v>
      </c>
      <c r="AE12" s="11" t="str">
        <f t="shared" si="1"/>
        <v>Overrated</v>
      </c>
      <c r="AF12" s="12" t="str">
        <f>IFERROR(VLOOKUP(R12,q7b_cuisine_dominance_summary,2,FALSE),"—")</f>
        <v>—</v>
      </c>
      <c r="AI12" s="16">
        <v>7</v>
      </c>
      <c r="AJ12" s="17">
        <v>35</v>
      </c>
      <c r="AK12" s="17" t="s">
        <v>93</v>
      </c>
      <c r="AL12" s="27">
        <v>131</v>
      </c>
      <c r="AM12" s="37">
        <v>4.04</v>
      </c>
      <c r="AN12" s="17">
        <v>0.34</v>
      </c>
      <c r="AO12" s="39">
        <v>1448</v>
      </c>
      <c r="AP12" s="17">
        <v>653</v>
      </c>
      <c r="AQ12" s="17">
        <v>86.7</v>
      </c>
      <c r="AR12" s="17">
        <v>70.2</v>
      </c>
      <c r="AS12" s="17">
        <v>11.36</v>
      </c>
      <c r="AT12" s="17" t="s">
        <v>83</v>
      </c>
      <c r="AU12" s="17">
        <f t="shared" si="2"/>
        <v>28</v>
      </c>
      <c r="AV12" s="18" t="str">
        <f t="shared" si="3"/>
        <v>Hidden gem</v>
      </c>
    </row>
    <row r="13" spans="1:48" x14ac:dyDescent="0.2">
      <c r="A13" s="10" t="s">
        <v>32</v>
      </c>
      <c r="B13" s="11" t="s">
        <v>17</v>
      </c>
      <c r="C13" s="25">
        <v>631</v>
      </c>
      <c r="D13" s="25">
        <v>2494</v>
      </c>
      <c r="E13" s="11">
        <v>25.3</v>
      </c>
      <c r="F13" s="12">
        <v>3.62</v>
      </c>
      <c r="I13" s="10" t="s">
        <v>74</v>
      </c>
      <c r="J13" s="11">
        <v>1</v>
      </c>
      <c r="K13" s="11">
        <v>1.1000000000000001</v>
      </c>
      <c r="L13" s="25">
        <v>2</v>
      </c>
      <c r="M13" s="12">
        <v>2</v>
      </c>
      <c r="P13" s="10">
        <v>8</v>
      </c>
      <c r="Q13" s="11">
        <v>14</v>
      </c>
      <c r="R13" s="11" t="s">
        <v>82</v>
      </c>
      <c r="S13" s="25">
        <v>2124</v>
      </c>
      <c r="T13" s="25">
        <v>1673</v>
      </c>
      <c r="U13" s="11">
        <v>3.88</v>
      </c>
      <c r="V13" s="11">
        <v>0.18</v>
      </c>
      <c r="W13" s="11">
        <v>382</v>
      </c>
      <c r="X13" s="11">
        <v>143</v>
      </c>
      <c r="Y13" s="11">
        <v>88</v>
      </c>
      <c r="Z13" s="11">
        <v>65.400000000000006</v>
      </c>
      <c r="AA13" s="11">
        <v>21.2</v>
      </c>
      <c r="AB13" s="11">
        <v>8.3699999999999992</v>
      </c>
      <c r="AC13" s="11" t="s">
        <v>80</v>
      </c>
      <c r="AD13" s="11">
        <f t="shared" si="0"/>
        <v>-6</v>
      </c>
      <c r="AE13" s="11" t="str">
        <f t="shared" si="1"/>
        <v>Balanced</v>
      </c>
      <c r="AF13" s="12" t="str">
        <f>IFERROR(VLOOKUP(R13,q7b_cuisine_dominance_summary,2,FALSE),"—")</f>
        <v>—</v>
      </c>
      <c r="AI13" s="16">
        <v>7</v>
      </c>
      <c r="AJ13" s="17">
        <v>46</v>
      </c>
      <c r="AK13" s="17" t="s">
        <v>94</v>
      </c>
      <c r="AL13" s="27">
        <v>77</v>
      </c>
      <c r="AM13" s="37">
        <v>4.04</v>
      </c>
      <c r="AN13" s="17">
        <v>0.34</v>
      </c>
      <c r="AO13" s="39">
        <v>977</v>
      </c>
      <c r="AP13" s="17">
        <v>429</v>
      </c>
      <c r="AQ13" s="17">
        <v>84.4</v>
      </c>
      <c r="AR13" s="17">
        <v>72.7</v>
      </c>
      <c r="AS13" s="17">
        <v>10.63</v>
      </c>
      <c r="AT13" s="17" t="s">
        <v>83</v>
      </c>
      <c r="AU13" s="17">
        <f t="shared" si="2"/>
        <v>39</v>
      </c>
      <c r="AV13" s="18" t="str">
        <f t="shared" si="3"/>
        <v>Hidden gem</v>
      </c>
    </row>
    <row r="14" spans="1:48" x14ac:dyDescent="0.2">
      <c r="A14" s="10" t="s">
        <v>1</v>
      </c>
      <c r="B14" s="11" t="s">
        <v>17</v>
      </c>
      <c r="C14" s="25">
        <v>258</v>
      </c>
      <c r="D14" s="25">
        <v>1047</v>
      </c>
      <c r="E14" s="11">
        <v>24.6</v>
      </c>
      <c r="F14" s="12">
        <v>3.53</v>
      </c>
      <c r="I14" s="10" t="s">
        <v>75</v>
      </c>
      <c r="J14" s="11">
        <v>1</v>
      </c>
      <c r="K14" s="11">
        <v>1.1000000000000001</v>
      </c>
      <c r="L14" s="25">
        <v>2</v>
      </c>
      <c r="M14" s="12">
        <v>2</v>
      </c>
      <c r="P14" s="10">
        <v>9</v>
      </c>
      <c r="Q14" s="11">
        <v>11</v>
      </c>
      <c r="R14" s="11" t="s">
        <v>2</v>
      </c>
      <c r="S14" s="25">
        <v>1803</v>
      </c>
      <c r="T14" s="25">
        <v>1632</v>
      </c>
      <c r="U14" s="11">
        <v>3.97</v>
      </c>
      <c r="V14" s="11">
        <v>0.27</v>
      </c>
      <c r="W14" s="11">
        <v>1119</v>
      </c>
      <c r="X14" s="11">
        <v>883</v>
      </c>
      <c r="Y14" s="11">
        <v>90.7</v>
      </c>
      <c r="Z14" s="11">
        <v>46.3</v>
      </c>
      <c r="AA14" s="11">
        <v>9.5</v>
      </c>
      <c r="AB14" s="11">
        <v>11.71</v>
      </c>
      <c r="AC14" s="11" t="s">
        <v>83</v>
      </c>
      <c r="AD14" s="11">
        <f t="shared" si="0"/>
        <v>-2</v>
      </c>
      <c r="AE14" s="11" t="str">
        <f t="shared" si="1"/>
        <v>Balanced</v>
      </c>
      <c r="AF14" s="12" t="str">
        <f>IFERROR(VLOOKUP(R14,q7b_cuisine_dominance_summary,2,FALSE),"—")</f>
        <v>—</v>
      </c>
      <c r="AI14" s="16">
        <v>9</v>
      </c>
      <c r="AJ14" s="17">
        <v>48</v>
      </c>
      <c r="AK14" s="17" t="s">
        <v>95</v>
      </c>
      <c r="AL14" s="27">
        <v>70</v>
      </c>
      <c r="AM14" s="37">
        <v>4.0199999999999996</v>
      </c>
      <c r="AN14" s="17">
        <v>0.32</v>
      </c>
      <c r="AO14" s="39">
        <v>724</v>
      </c>
      <c r="AP14" s="17">
        <v>231</v>
      </c>
      <c r="AQ14" s="17">
        <v>90.8</v>
      </c>
      <c r="AR14" s="17">
        <v>57.1</v>
      </c>
      <c r="AS14" s="17">
        <v>9.51</v>
      </c>
      <c r="AT14" s="17" t="s">
        <v>83</v>
      </c>
      <c r="AU14" s="17">
        <f t="shared" si="2"/>
        <v>39</v>
      </c>
      <c r="AV14" s="18" t="str">
        <f t="shared" si="3"/>
        <v>Hidden gem</v>
      </c>
    </row>
    <row r="15" spans="1:48" x14ac:dyDescent="0.2">
      <c r="A15" s="10" t="s">
        <v>33</v>
      </c>
      <c r="B15" s="11" t="s">
        <v>17</v>
      </c>
      <c r="C15" s="25">
        <v>510</v>
      </c>
      <c r="D15" s="25">
        <v>2218</v>
      </c>
      <c r="E15" s="11">
        <v>23</v>
      </c>
      <c r="F15" s="12">
        <v>3.61</v>
      </c>
      <c r="I15" s="13" t="s">
        <v>76</v>
      </c>
      <c r="J15" s="14">
        <v>1</v>
      </c>
      <c r="K15" s="14">
        <v>1.1000000000000001</v>
      </c>
      <c r="L15" s="26">
        <v>5</v>
      </c>
      <c r="M15" s="15">
        <v>5</v>
      </c>
      <c r="P15" s="10">
        <v>10</v>
      </c>
      <c r="Q15" s="11">
        <v>29</v>
      </c>
      <c r="R15" s="11" t="s">
        <v>84</v>
      </c>
      <c r="S15" s="25">
        <v>1232</v>
      </c>
      <c r="T15" s="25">
        <v>940</v>
      </c>
      <c r="U15" s="11">
        <v>3.69</v>
      </c>
      <c r="V15" s="11">
        <v>-0.01</v>
      </c>
      <c r="W15" s="11">
        <v>265</v>
      </c>
      <c r="X15" s="11">
        <v>47</v>
      </c>
      <c r="Y15" s="11">
        <v>74.400000000000006</v>
      </c>
      <c r="Z15" s="11">
        <v>74</v>
      </c>
      <c r="AA15" s="11">
        <v>23.7</v>
      </c>
      <c r="AB15" s="11">
        <v>6.19</v>
      </c>
      <c r="AC15" s="11" t="s">
        <v>79</v>
      </c>
      <c r="AD15" s="11">
        <f t="shared" si="0"/>
        <v>-19</v>
      </c>
      <c r="AE15" s="11" t="str">
        <f t="shared" si="1"/>
        <v>Overrated</v>
      </c>
      <c r="AF15" s="12" t="str">
        <f>IFERROR(VLOOKUP(R15,q7b_cuisine_dominance_summary,2,FALSE),"—")</f>
        <v>—</v>
      </c>
      <c r="AI15" s="16">
        <v>10</v>
      </c>
      <c r="AJ15" s="17">
        <v>36</v>
      </c>
      <c r="AK15" s="17" t="s">
        <v>96</v>
      </c>
      <c r="AL15" s="27">
        <v>120</v>
      </c>
      <c r="AM15" s="37">
        <v>4</v>
      </c>
      <c r="AN15" s="17">
        <v>0.3</v>
      </c>
      <c r="AO15" s="39">
        <v>863</v>
      </c>
      <c r="AP15" s="17">
        <v>407</v>
      </c>
      <c r="AQ15" s="17">
        <v>89.8</v>
      </c>
      <c r="AR15" s="17">
        <v>62.5</v>
      </c>
      <c r="AS15" s="17">
        <v>10.45</v>
      </c>
      <c r="AT15" s="17" t="s">
        <v>83</v>
      </c>
      <c r="AU15" s="17">
        <f t="shared" si="2"/>
        <v>26</v>
      </c>
      <c r="AV15" s="18" t="str">
        <f t="shared" si="3"/>
        <v>Hidden gem</v>
      </c>
    </row>
    <row r="16" spans="1:48" x14ac:dyDescent="0.2">
      <c r="A16" s="10" t="s">
        <v>41</v>
      </c>
      <c r="B16" s="11" t="s">
        <v>17</v>
      </c>
      <c r="C16" s="25">
        <v>264</v>
      </c>
      <c r="D16" s="25">
        <v>1174</v>
      </c>
      <c r="E16" s="11">
        <v>22.5</v>
      </c>
      <c r="F16" s="12">
        <v>3.84</v>
      </c>
      <c r="P16" s="10">
        <v>11</v>
      </c>
      <c r="Q16" s="11">
        <v>41</v>
      </c>
      <c r="R16" s="11" t="s">
        <v>85</v>
      </c>
      <c r="S16" s="25">
        <v>1193</v>
      </c>
      <c r="T16" s="25">
        <v>969</v>
      </c>
      <c r="U16" s="11">
        <v>3.58</v>
      </c>
      <c r="V16" s="11">
        <v>-0.12</v>
      </c>
      <c r="W16" s="11">
        <v>547</v>
      </c>
      <c r="X16" s="11">
        <v>211</v>
      </c>
      <c r="Y16" s="11">
        <v>69.099999999999994</v>
      </c>
      <c r="Z16" s="11">
        <v>60.2</v>
      </c>
      <c r="AA16" s="11">
        <v>18.8</v>
      </c>
      <c r="AB16" s="11">
        <v>8.32</v>
      </c>
      <c r="AC16" s="11" t="s">
        <v>79</v>
      </c>
      <c r="AD16" s="11">
        <f t="shared" si="0"/>
        <v>-30</v>
      </c>
      <c r="AE16" s="11" t="str">
        <f t="shared" si="1"/>
        <v>Overrated</v>
      </c>
      <c r="AF16" s="12" t="str">
        <f>IFERROR(VLOOKUP(R16,q7b_cuisine_dominance_summary,2,FALSE),"—")</f>
        <v>—</v>
      </c>
      <c r="AI16" s="16">
        <v>11</v>
      </c>
      <c r="AJ16" s="17">
        <v>9</v>
      </c>
      <c r="AK16" s="17" t="s">
        <v>2</v>
      </c>
      <c r="AL16" s="27">
        <v>1803</v>
      </c>
      <c r="AM16" s="37">
        <v>3.97</v>
      </c>
      <c r="AN16" s="17">
        <v>0.27</v>
      </c>
      <c r="AO16" s="39">
        <v>1119</v>
      </c>
      <c r="AP16" s="17">
        <v>883</v>
      </c>
      <c r="AQ16" s="17">
        <v>90.7</v>
      </c>
      <c r="AR16" s="17">
        <v>46.3</v>
      </c>
      <c r="AS16" s="17">
        <v>11.71</v>
      </c>
      <c r="AT16" s="17" t="s">
        <v>83</v>
      </c>
      <c r="AU16" s="17">
        <f t="shared" si="2"/>
        <v>-2</v>
      </c>
      <c r="AV16" s="18" t="str">
        <f t="shared" si="3"/>
        <v>Balanced</v>
      </c>
    </row>
    <row r="17" spans="1:48" x14ac:dyDescent="0.2">
      <c r="A17" s="10" t="s">
        <v>70</v>
      </c>
      <c r="B17" s="11" t="s">
        <v>17</v>
      </c>
      <c r="C17" s="25">
        <v>195</v>
      </c>
      <c r="D17" s="25">
        <v>893</v>
      </c>
      <c r="E17" s="11">
        <v>21.8</v>
      </c>
      <c r="F17" s="12">
        <v>3.51</v>
      </c>
      <c r="P17" s="10">
        <v>12</v>
      </c>
      <c r="Q17" s="11">
        <v>18</v>
      </c>
      <c r="R17" s="11" t="s">
        <v>86</v>
      </c>
      <c r="S17" s="25">
        <v>916</v>
      </c>
      <c r="T17" s="25">
        <v>775</v>
      </c>
      <c r="U17" s="11">
        <v>3.83</v>
      </c>
      <c r="V17" s="11">
        <v>0.13</v>
      </c>
      <c r="W17" s="11">
        <v>294</v>
      </c>
      <c r="X17" s="11">
        <v>215</v>
      </c>
      <c r="Y17" s="11">
        <v>80</v>
      </c>
      <c r="Z17" s="11">
        <v>62.9</v>
      </c>
      <c r="AA17" s="11">
        <v>15.4</v>
      </c>
      <c r="AB17" s="11">
        <v>8.94</v>
      </c>
      <c r="AC17" s="11" t="s">
        <v>80</v>
      </c>
      <c r="AD17" s="11">
        <f t="shared" si="0"/>
        <v>-6</v>
      </c>
      <c r="AE17" s="11" t="str">
        <f t="shared" si="1"/>
        <v>Balanced</v>
      </c>
      <c r="AF17" s="12" t="str">
        <f>IFERROR(VLOOKUP(R17,q7b_cuisine_dominance_summary,2,FALSE),"—")</f>
        <v>—</v>
      </c>
      <c r="AI17" s="16">
        <v>12</v>
      </c>
      <c r="AJ17" s="17">
        <v>38</v>
      </c>
      <c r="AK17" s="17" t="s">
        <v>97</v>
      </c>
      <c r="AL17" s="27">
        <v>111</v>
      </c>
      <c r="AM17" s="37">
        <v>3.96</v>
      </c>
      <c r="AN17" s="17">
        <v>0.26</v>
      </c>
      <c r="AO17" s="39">
        <v>732</v>
      </c>
      <c r="AP17" s="17">
        <v>714</v>
      </c>
      <c r="AQ17" s="17">
        <v>94.5</v>
      </c>
      <c r="AR17" s="17">
        <v>82.9</v>
      </c>
      <c r="AS17" s="17">
        <v>11.3</v>
      </c>
      <c r="AT17" s="17" t="s">
        <v>83</v>
      </c>
      <c r="AU17" s="17">
        <f t="shared" si="2"/>
        <v>26</v>
      </c>
      <c r="AV17" s="18" t="str">
        <f t="shared" si="3"/>
        <v>Hidden gem</v>
      </c>
    </row>
    <row r="18" spans="1:48" x14ac:dyDescent="0.2">
      <c r="A18" s="10" t="s">
        <v>55</v>
      </c>
      <c r="B18" s="11" t="s">
        <v>69</v>
      </c>
      <c r="C18" s="25">
        <v>187</v>
      </c>
      <c r="D18" s="25">
        <v>902</v>
      </c>
      <c r="E18" s="11">
        <v>20.7</v>
      </c>
      <c r="F18" s="12">
        <v>3.67</v>
      </c>
      <c r="P18" s="10">
        <v>13</v>
      </c>
      <c r="Q18" s="11">
        <v>41</v>
      </c>
      <c r="R18" s="11" t="s">
        <v>74</v>
      </c>
      <c r="S18" s="25">
        <v>883</v>
      </c>
      <c r="T18" s="25">
        <v>748</v>
      </c>
      <c r="U18" s="11">
        <v>3.58</v>
      </c>
      <c r="V18" s="11">
        <v>-0.12</v>
      </c>
      <c r="W18" s="11">
        <v>423</v>
      </c>
      <c r="X18" s="11">
        <v>138</v>
      </c>
      <c r="Y18" s="11">
        <v>65.099999999999994</v>
      </c>
      <c r="Z18" s="11">
        <v>62.2</v>
      </c>
      <c r="AA18" s="11">
        <v>15.3</v>
      </c>
      <c r="AB18" s="11">
        <v>7.68</v>
      </c>
      <c r="AC18" s="11" t="s">
        <v>79</v>
      </c>
      <c r="AD18" s="11">
        <f t="shared" si="0"/>
        <v>-28</v>
      </c>
      <c r="AE18" s="11" t="str">
        <f t="shared" si="1"/>
        <v>Overrated</v>
      </c>
      <c r="AF18" s="12">
        <f>IFERROR(VLOOKUP(R18,q7b_cuisine_dominance_summary,2,FALSE),"—")</f>
        <v>1</v>
      </c>
      <c r="AI18" s="16">
        <v>13</v>
      </c>
      <c r="AJ18" s="17">
        <v>17</v>
      </c>
      <c r="AK18" s="17" t="s">
        <v>7</v>
      </c>
      <c r="AL18" s="27">
        <v>665</v>
      </c>
      <c r="AM18" s="37">
        <v>3.93</v>
      </c>
      <c r="AN18" s="17">
        <v>0.23</v>
      </c>
      <c r="AO18" s="39">
        <v>1029</v>
      </c>
      <c r="AP18" s="17">
        <v>664</v>
      </c>
      <c r="AQ18" s="17">
        <v>90.1</v>
      </c>
      <c r="AR18" s="17">
        <v>66.900000000000006</v>
      </c>
      <c r="AS18" s="17">
        <v>11.1</v>
      </c>
      <c r="AT18" s="17" t="s">
        <v>83</v>
      </c>
      <c r="AU18" s="17">
        <f t="shared" si="2"/>
        <v>4</v>
      </c>
      <c r="AV18" s="18" t="str">
        <f t="shared" si="3"/>
        <v>Balanced</v>
      </c>
    </row>
    <row r="19" spans="1:48" x14ac:dyDescent="0.2">
      <c r="A19" s="10" t="s">
        <v>68</v>
      </c>
      <c r="B19" s="11" t="s">
        <v>17</v>
      </c>
      <c r="C19" s="25">
        <v>206</v>
      </c>
      <c r="D19" s="25">
        <v>1011</v>
      </c>
      <c r="E19" s="11">
        <v>20.399999999999999</v>
      </c>
      <c r="F19" s="12">
        <v>3.58</v>
      </c>
      <c r="P19" s="10">
        <v>14</v>
      </c>
      <c r="Q19" s="11">
        <v>37</v>
      </c>
      <c r="R19" s="11" t="s">
        <v>87</v>
      </c>
      <c r="S19" s="25">
        <v>827</v>
      </c>
      <c r="T19" s="25">
        <v>702</v>
      </c>
      <c r="U19" s="11">
        <v>3.61</v>
      </c>
      <c r="V19" s="11">
        <v>-0.09</v>
      </c>
      <c r="W19" s="11">
        <v>225</v>
      </c>
      <c r="X19" s="11">
        <v>123</v>
      </c>
      <c r="Y19" s="11">
        <v>61.3</v>
      </c>
      <c r="Z19" s="11">
        <v>55.3</v>
      </c>
      <c r="AA19" s="11">
        <v>15.1</v>
      </c>
      <c r="AB19" s="11">
        <v>7.55</v>
      </c>
      <c r="AC19" s="11" t="s">
        <v>79</v>
      </c>
      <c r="AD19" s="11">
        <f t="shared" si="0"/>
        <v>-23</v>
      </c>
      <c r="AE19" s="11" t="str">
        <f t="shared" si="1"/>
        <v>Overrated</v>
      </c>
      <c r="AF19" s="12" t="str">
        <f>IFERROR(VLOOKUP(R19,q7b_cuisine_dominance_summary,2,FALSE),"—")</f>
        <v>—</v>
      </c>
      <c r="AI19" s="16">
        <v>14</v>
      </c>
      <c r="AJ19" s="17">
        <v>16</v>
      </c>
      <c r="AK19" s="17" t="s">
        <v>98</v>
      </c>
      <c r="AL19" s="27">
        <v>691</v>
      </c>
      <c r="AM19" s="37">
        <v>3.88</v>
      </c>
      <c r="AN19" s="17">
        <v>0.18</v>
      </c>
      <c r="AO19" s="39">
        <v>1445</v>
      </c>
      <c r="AP19" s="17">
        <v>563</v>
      </c>
      <c r="AQ19" s="17">
        <v>91.3</v>
      </c>
      <c r="AR19" s="17">
        <v>23.4</v>
      </c>
      <c r="AS19" s="17">
        <v>10.69</v>
      </c>
      <c r="AT19" s="17" t="s">
        <v>80</v>
      </c>
      <c r="AU19" s="17">
        <f t="shared" si="2"/>
        <v>2</v>
      </c>
      <c r="AV19" s="18" t="str">
        <f t="shared" si="3"/>
        <v>Balanced</v>
      </c>
    </row>
    <row r="20" spans="1:48" x14ac:dyDescent="0.2">
      <c r="A20" s="10" t="s">
        <v>35</v>
      </c>
      <c r="B20" s="11" t="s">
        <v>17</v>
      </c>
      <c r="C20" s="25">
        <v>372</v>
      </c>
      <c r="D20" s="25">
        <v>1916</v>
      </c>
      <c r="E20" s="11">
        <v>19.399999999999999</v>
      </c>
      <c r="F20" s="12">
        <v>3.78</v>
      </c>
      <c r="P20" s="13">
        <v>15</v>
      </c>
      <c r="Q20" s="14">
        <v>35</v>
      </c>
      <c r="R20" s="14" t="s">
        <v>88</v>
      </c>
      <c r="S20" s="26">
        <v>707</v>
      </c>
      <c r="T20" s="26">
        <v>563</v>
      </c>
      <c r="U20" s="14">
        <v>3.62</v>
      </c>
      <c r="V20" s="14">
        <v>-0.08</v>
      </c>
      <c r="W20" s="14">
        <v>262</v>
      </c>
      <c r="X20" s="14">
        <v>66</v>
      </c>
      <c r="Y20" s="14">
        <v>67.099999999999994</v>
      </c>
      <c r="Z20" s="14">
        <v>56</v>
      </c>
      <c r="AA20" s="14">
        <v>20.399999999999999</v>
      </c>
      <c r="AB20" s="14">
        <v>6.61</v>
      </c>
      <c r="AC20" s="14" t="s">
        <v>79</v>
      </c>
      <c r="AD20" s="14">
        <f t="shared" si="0"/>
        <v>-20</v>
      </c>
      <c r="AE20" s="14" t="str">
        <f t="shared" si="1"/>
        <v>Overrated</v>
      </c>
      <c r="AF20" s="15" t="str">
        <f>IFERROR(VLOOKUP(R20,q7b_cuisine_dominance_summary,2,FALSE),"—")</f>
        <v>—</v>
      </c>
      <c r="AI20" s="19">
        <v>14</v>
      </c>
      <c r="AJ20" s="20">
        <v>8</v>
      </c>
      <c r="AK20" s="20" t="s">
        <v>82</v>
      </c>
      <c r="AL20" s="28">
        <v>2124</v>
      </c>
      <c r="AM20" s="38">
        <v>3.88</v>
      </c>
      <c r="AN20" s="20">
        <v>0.18</v>
      </c>
      <c r="AO20" s="40">
        <v>382</v>
      </c>
      <c r="AP20" s="20">
        <v>143</v>
      </c>
      <c r="AQ20" s="20">
        <v>88</v>
      </c>
      <c r="AR20" s="20">
        <v>65.400000000000006</v>
      </c>
      <c r="AS20" s="20">
        <v>8.3699999999999992</v>
      </c>
      <c r="AT20" s="20" t="s">
        <v>80</v>
      </c>
      <c r="AU20" s="20">
        <f t="shared" si="2"/>
        <v>-6</v>
      </c>
      <c r="AV20" s="21" t="str">
        <f t="shared" si="3"/>
        <v>Balanced</v>
      </c>
    </row>
    <row r="21" spans="1:48" x14ac:dyDescent="0.2">
      <c r="A21" s="10" t="s">
        <v>6</v>
      </c>
      <c r="B21" s="11" t="s">
        <v>17</v>
      </c>
      <c r="C21" s="25">
        <v>367</v>
      </c>
      <c r="D21" s="25">
        <v>2026</v>
      </c>
      <c r="E21" s="11">
        <v>18.100000000000001</v>
      </c>
      <c r="F21" s="12">
        <v>3.69</v>
      </c>
    </row>
    <row r="22" spans="1:48" x14ac:dyDescent="0.2">
      <c r="A22" s="10" t="s">
        <v>42</v>
      </c>
      <c r="B22" s="11" t="s">
        <v>17</v>
      </c>
      <c r="C22" s="25">
        <v>199</v>
      </c>
      <c r="D22" s="25">
        <v>1127</v>
      </c>
      <c r="E22" s="11">
        <v>17.7</v>
      </c>
      <c r="F22" s="12">
        <v>3.7</v>
      </c>
    </row>
    <row r="23" spans="1:48" ht="19" x14ac:dyDescent="0.25">
      <c r="A23" s="10" t="s">
        <v>67</v>
      </c>
      <c r="B23" s="11" t="s">
        <v>17</v>
      </c>
      <c r="C23" s="25">
        <v>166</v>
      </c>
      <c r="D23" s="25">
        <v>1017</v>
      </c>
      <c r="E23" s="11">
        <v>16.3</v>
      </c>
      <c r="F23" s="12">
        <v>3.69</v>
      </c>
      <c r="P23" s="35" t="s">
        <v>239</v>
      </c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</row>
    <row r="24" spans="1:48" x14ac:dyDescent="0.2">
      <c r="A24" s="10" t="s">
        <v>13</v>
      </c>
      <c r="B24" s="11" t="s">
        <v>14</v>
      </c>
      <c r="C24" s="25">
        <v>400</v>
      </c>
      <c r="D24" s="25">
        <v>2479</v>
      </c>
      <c r="E24" s="11">
        <v>16.100000000000001</v>
      </c>
      <c r="F24" s="12">
        <v>4.1500000000000004</v>
      </c>
    </row>
    <row r="25" spans="1:48" ht="19" x14ac:dyDescent="0.25">
      <c r="A25" s="13" t="s">
        <v>40</v>
      </c>
      <c r="B25" s="14" t="s">
        <v>17</v>
      </c>
      <c r="C25" s="26">
        <v>128</v>
      </c>
      <c r="D25" s="26">
        <v>1210</v>
      </c>
      <c r="E25" s="14">
        <v>10.6</v>
      </c>
      <c r="F25" s="15">
        <v>3.44</v>
      </c>
      <c r="P25" s="7" t="s">
        <v>180</v>
      </c>
      <c r="Q25" s="9" t="s">
        <v>237</v>
      </c>
    </row>
    <row r="26" spans="1:48" x14ac:dyDescent="0.2">
      <c r="P26" s="10" t="s">
        <v>75</v>
      </c>
      <c r="Q26" s="12">
        <v>-39</v>
      </c>
    </row>
    <row r="27" spans="1:48" x14ac:dyDescent="0.2">
      <c r="P27" s="10" t="s">
        <v>72</v>
      </c>
      <c r="Q27" s="12">
        <v>-39</v>
      </c>
    </row>
    <row r="28" spans="1:48" x14ac:dyDescent="0.2">
      <c r="P28" s="10" t="s">
        <v>17</v>
      </c>
      <c r="Q28" s="12">
        <v>-38</v>
      </c>
    </row>
    <row r="29" spans="1:48" x14ac:dyDescent="0.2">
      <c r="P29" s="10" t="s">
        <v>69</v>
      </c>
      <c r="Q29" s="12">
        <v>-37</v>
      </c>
    </row>
    <row r="30" spans="1:48" x14ac:dyDescent="0.2">
      <c r="P30" s="16" t="s">
        <v>89</v>
      </c>
      <c r="Q30" s="12">
        <v>37</v>
      </c>
    </row>
    <row r="31" spans="1:48" x14ac:dyDescent="0.2">
      <c r="P31" s="16" t="s">
        <v>90</v>
      </c>
      <c r="Q31" s="12">
        <v>37</v>
      </c>
    </row>
    <row r="32" spans="1:48" x14ac:dyDescent="0.2">
      <c r="P32" s="16" t="s">
        <v>94</v>
      </c>
      <c r="Q32" s="12">
        <v>39</v>
      </c>
    </row>
    <row r="33" spans="16:17" x14ac:dyDescent="0.2">
      <c r="P33" s="19" t="s">
        <v>95</v>
      </c>
      <c r="Q33" s="15">
        <v>39</v>
      </c>
    </row>
    <row r="34" spans="16:17" x14ac:dyDescent="0.2">
      <c r="P34" s="11"/>
      <c r="Q34" s="11"/>
    </row>
    <row r="35" spans="16:17" x14ac:dyDescent="0.2">
      <c r="P35" s="11"/>
      <c r="Q35" s="11"/>
    </row>
    <row r="36" spans="16:17" x14ac:dyDescent="0.2">
      <c r="P36" s="11"/>
      <c r="Q36" s="11"/>
    </row>
    <row r="37" spans="16:17" x14ac:dyDescent="0.2">
      <c r="P37" s="11"/>
      <c r="Q37" s="11"/>
    </row>
    <row r="38" spans="16:17" x14ac:dyDescent="0.2">
      <c r="P38" s="11"/>
      <c r="Q38" s="11"/>
    </row>
    <row r="39" spans="16:17" x14ac:dyDescent="0.2">
      <c r="P39" s="11"/>
      <c r="Q39" s="11"/>
    </row>
    <row r="40" spans="16:17" x14ac:dyDescent="0.2">
      <c r="P40" s="11"/>
      <c r="Q40" s="11"/>
    </row>
  </sheetData>
  <mergeCells count="3">
    <mergeCell ref="P23:AF23"/>
    <mergeCell ref="A1:I1"/>
    <mergeCell ref="P1:AC1"/>
  </mergeCells>
  <conditionalFormatting sqref="E1:E1048576">
    <cfRule type="colorScale" priority="1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1:F1048576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{9E7D2BA3-9434-8249-823B-B1D40EEB6301}</x14:id>
        </ext>
      </extLst>
    </cfRule>
  </conditionalFormatting>
  <conditionalFormatting sqref="J1:J1048576">
    <cfRule type="dataBar" priority="1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{DA628F54-40AD-5B4D-9597-7A76B948FAC0}</x14:id>
        </ext>
      </extLst>
    </cfRule>
  </conditionalFormatting>
  <conditionalFormatting sqref="K1:K1048576">
    <cfRule type="colorScale" priority="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C1:AF22 AC24:AF1048576">
    <cfRule type="containsText" dxfId="20" priority="4" operator="containsText" text="Below Average">
      <formula>NOT(ISERROR(SEARCH("Below Average",AC1)))</formula>
    </cfRule>
    <cfRule type="containsText" dxfId="19" priority="6" operator="containsText" text="Above Average">
      <formula>NOT(ISERROR(SEARCH("Above Average",AC1)))</formula>
    </cfRule>
    <cfRule type="containsText" dxfId="18" priority="7" operator="containsText" text="At Par">
      <formula>NOT(ISERROR(SEARCH("At Par",AC1)))</formula>
    </cfRule>
    <cfRule type="containsText" dxfId="17" priority="8" operator="containsText" text="Star Performer">
      <formula>NOT(ISERROR(SEARCH("Star Performer",AC1)))</formula>
    </cfRule>
  </conditionalFormatting>
  <conditionalFormatting sqref="AC14:AF14">
    <cfRule type="containsText" dxfId="16" priority="5" operator="containsText" text="Star Performer">
      <formula>NOT(ISERROR(SEARCH("Star Performer",AC14)))</formula>
    </cfRule>
  </conditionalFormatting>
  <conditionalFormatting sqref="AN1:AN1048576">
    <cfRule type="colorScale" priority="3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AM1:AM104857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{B15A886D-A5D8-6B40-AB93-5B2C75878958}</x14:id>
        </ext>
      </extLst>
    </cfRule>
  </conditionalFormatting>
  <conditionalFormatting sqref="AQ1:AQ1048576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E7D2BA3-9434-8249-823B-B1D40EEB630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F1:F1048576</xm:sqref>
        </x14:conditionalFormatting>
        <x14:conditionalFormatting xmlns:xm="http://schemas.microsoft.com/office/excel/2006/main">
          <x14:cfRule type="dataBar" id="{DA628F54-40AD-5B4D-9597-7A76B948FAC0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J1:J1048576</xm:sqref>
        </x14:conditionalFormatting>
        <x14:conditionalFormatting xmlns:xm="http://schemas.microsoft.com/office/excel/2006/main">
          <x14:cfRule type="dataBar" id="{B15A886D-A5D8-6B40-AB93-5B2C7587895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AM1:AM1048576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B1B7A1-3A16-E74E-8DF1-194A244683B7}">
  <dimension ref="A1:AR23"/>
  <sheetViews>
    <sheetView topLeftCell="AF1" zoomScale="125" workbookViewId="0">
      <pane ySplit="3" topLeftCell="A4" activePane="bottomLeft" state="frozen"/>
      <selection pane="bottomLeft" activeCell="AO17" sqref="AO17"/>
    </sheetView>
  </sheetViews>
  <sheetFormatPr baseColWidth="10" defaultRowHeight="16" x14ac:dyDescent="0.2"/>
  <cols>
    <col min="1" max="1" width="15.83203125" bestFit="1" customWidth="1"/>
    <col min="2" max="2" width="18.5" bestFit="1" customWidth="1"/>
    <col min="3" max="3" width="23" bestFit="1" customWidth="1"/>
    <col min="4" max="4" width="11.33203125" bestFit="1" customWidth="1"/>
    <col min="5" max="5" width="22.1640625" bestFit="1" customWidth="1"/>
    <col min="6" max="6" width="9.83203125" style="34" bestFit="1" customWidth="1"/>
    <col min="7" max="7" width="20.5" bestFit="1" customWidth="1"/>
    <col min="8" max="8" width="11" bestFit="1" customWidth="1"/>
    <col min="9" max="9" width="21.5" bestFit="1" customWidth="1"/>
    <col min="10" max="10" width="23.1640625" bestFit="1" customWidth="1"/>
    <col min="11" max="11" width="18.6640625" bestFit="1" customWidth="1"/>
    <col min="12" max="12" width="13.83203125" bestFit="1" customWidth="1"/>
    <col min="13" max="13" width="22.33203125" bestFit="1" customWidth="1"/>
    <col min="14" max="14" width="20.5" bestFit="1" customWidth="1"/>
    <col min="15" max="15" width="17.5" bestFit="1" customWidth="1"/>
    <col min="16" max="16" width="13.1640625" bestFit="1" customWidth="1"/>
    <col min="17" max="17" width="23.6640625" bestFit="1" customWidth="1"/>
    <col min="18" max="18" width="10.83203125" style="2"/>
    <col min="20" max="20" width="11" bestFit="1" customWidth="1"/>
    <col min="21" max="21" width="13.83203125" bestFit="1" customWidth="1"/>
    <col min="22" max="22" width="21.6640625" bestFit="1" customWidth="1"/>
    <col min="23" max="23" width="19.6640625" bestFit="1" customWidth="1"/>
    <col min="24" max="24" width="17" bestFit="1" customWidth="1"/>
    <col min="25" max="25" width="12.6640625" bestFit="1" customWidth="1"/>
    <col min="26" max="26" width="5.83203125" bestFit="1" customWidth="1"/>
    <col min="27" max="27" width="6.83203125" bestFit="1" customWidth="1"/>
    <col min="28" max="28" width="13.83203125" bestFit="1" customWidth="1"/>
    <col min="29" max="29" width="13.1640625" bestFit="1" customWidth="1"/>
    <col min="30" max="30" width="23.83203125" bestFit="1" customWidth="1"/>
    <col min="31" max="31" width="14" bestFit="1" customWidth="1"/>
    <col min="32" max="32" width="12.33203125" bestFit="1" customWidth="1"/>
    <col min="33" max="33" width="10.6640625" bestFit="1" customWidth="1"/>
    <col min="36" max="36" width="36.1640625" bestFit="1" customWidth="1"/>
    <col min="37" max="37" width="15" bestFit="1" customWidth="1"/>
    <col min="38" max="38" width="14.5" bestFit="1" customWidth="1"/>
    <col min="39" max="39" width="21.6640625" bestFit="1" customWidth="1"/>
    <col min="40" max="40" width="14.33203125" bestFit="1" customWidth="1"/>
    <col min="41" max="41" width="18.83203125" bestFit="1" customWidth="1"/>
    <col min="42" max="42" width="16.5" bestFit="1" customWidth="1"/>
    <col min="43" max="43" width="18.1640625" bestFit="1" customWidth="1"/>
    <col min="44" max="44" width="10.83203125" style="2"/>
  </cols>
  <sheetData>
    <row r="1" spans="1:43" ht="19" x14ac:dyDescent="0.25">
      <c r="A1" s="1" t="s">
        <v>102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T1" s="1" t="s">
        <v>103</v>
      </c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3" spans="1:43" ht="19" x14ac:dyDescent="0.25">
      <c r="A3" s="7" t="s">
        <v>143</v>
      </c>
      <c r="B3" s="8" t="s">
        <v>158</v>
      </c>
      <c r="C3" s="8" t="s">
        <v>242</v>
      </c>
      <c r="D3" s="8" t="s">
        <v>160</v>
      </c>
      <c r="E3" s="8" t="s">
        <v>201</v>
      </c>
      <c r="F3" s="33" t="s">
        <v>164</v>
      </c>
      <c r="G3" s="8" t="s">
        <v>202</v>
      </c>
      <c r="H3" s="8" t="s">
        <v>159</v>
      </c>
      <c r="I3" s="8" t="s">
        <v>203</v>
      </c>
      <c r="J3" s="8" t="s">
        <v>224</v>
      </c>
      <c r="K3" s="8" t="s">
        <v>225</v>
      </c>
      <c r="L3" s="8" t="s">
        <v>228</v>
      </c>
      <c r="M3" s="8" t="s">
        <v>230</v>
      </c>
      <c r="N3" s="8" t="s">
        <v>231</v>
      </c>
      <c r="O3" s="8" t="s">
        <v>223</v>
      </c>
      <c r="P3" s="8" t="s">
        <v>166</v>
      </c>
      <c r="Q3" s="9" t="s">
        <v>204</v>
      </c>
      <c r="S3" s="4" t="s">
        <v>78</v>
      </c>
      <c r="T3" s="7" t="s">
        <v>193</v>
      </c>
      <c r="U3" s="8" t="s">
        <v>194</v>
      </c>
      <c r="V3" s="8" t="s">
        <v>132</v>
      </c>
      <c r="W3" s="8" t="s">
        <v>133</v>
      </c>
      <c r="X3" s="8" t="s">
        <v>180</v>
      </c>
      <c r="Y3" s="8" t="s">
        <v>195</v>
      </c>
      <c r="Z3" s="8" t="s">
        <v>137</v>
      </c>
      <c r="AA3" s="8" t="s">
        <v>136</v>
      </c>
      <c r="AB3" s="8" t="s">
        <v>138</v>
      </c>
      <c r="AC3" s="8" t="s">
        <v>196</v>
      </c>
      <c r="AD3" s="8" t="s">
        <v>197</v>
      </c>
      <c r="AE3" s="8" t="s">
        <v>198</v>
      </c>
      <c r="AF3" s="8" t="s">
        <v>199</v>
      </c>
      <c r="AG3" s="9" t="s">
        <v>200</v>
      </c>
      <c r="AI3" s="4" t="s">
        <v>77</v>
      </c>
      <c r="AJ3" s="7" t="s">
        <v>185</v>
      </c>
      <c r="AK3" s="8" t="s">
        <v>186</v>
      </c>
      <c r="AL3" s="8" t="s">
        <v>187</v>
      </c>
      <c r="AM3" s="8" t="s">
        <v>188</v>
      </c>
      <c r="AN3" s="8" t="s">
        <v>189</v>
      </c>
      <c r="AO3" s="8" t="s">
        <v>190</v>
      </c>
      <c r="AP3" s="8" t="s">
        <v>191</v>
      </c>
      <c r="AQ3" s="9" t="s">
        <v>192</v>
      </c>
    </row>
    <row r="4" spans="1:43" x14ac:dyDescent="0.2">
      <c r="A4" s="10" t="s">
        <v>28</v>
      </c>
      <c r="B4" s="25">
        <v>26699</v>
      </c>
      <c r="C4" s="11">
        <v>52.3</v>
      </c>
      <c r="D4" s="11">
        <v>3.58</v>
      </c>
      <c r="E4" s="11" t="s">
        <v>100</v>
      </c>
      <c r="F4" s="23">
        <v>284</v>
      </c>
      <c r="G4" s="11" t="s">
        <v>100</v>
      </c>
      <c r="H4" s="11">
        <v>65</v>
      </c>
      <c r="I4" s="11" t="s">
        <v>100</v>
      </c>
      <c r="J4" s="11">
        <v>63.6</v>
      </c>
      <c r="K4" s="11">
        <v>6.4</v>
      </c>
      <c r="L4" s="11">
        <v>3.2</v>
      </c>
      <c r="M4" s="11">
        <v>58.6</v>
      </c>
      <c r="N4" s="11">
        <v>0.3</v>
      </c>
      <c r="O4" s="11">
        <v>28.4</v>
      </c>
      <c r="P4" s="11">
        <v>1.258</v>
      </c>
      <c r="Q4" s="12" t="s">
        <v>101</v>
      </c>
      <c r="T4" s="10">
        <v>1</v>
      </c>
      <c r="U4" s="11">
        <v>1</v>
      </c>
      <c r="V4" s="11" t="s">
        <v>104</v>
      </c>
      <c r="W4" s="11" t="s">
        <v>46</v>
      </c>
      <c r="X4" s="11" t="s">
        <v>69</v>
      </c>
      <c r="Y4" s="11" t="s">
        <v>105</v>
      </c>
      <c r="Z4" s="29">
        <v>4.4000000000000004</v>
      </c>
      <c r="AA4" s="11">
        <v>4460</v>
      </c>
      <c r="AB4" s="23">
        <v>150</v>
      </c>
      <c r="AC4" s="11">
        <v>2.93</v>
      </c>
      <c r="AD4" s="11">
        <v>94.2</v>
      </c>
      <c r="AE4" s="11">
        <v>0</v>
      </c>
      <c r="AF4" s="11">
        <v>0</v>
      </c>
      <c r="AG4" s="12" t="s">
        <v>106</v>
      </c>
      <c r="AJ4" s="13">
        <v>26699</v>
      </c>
      <c r="AK4" s="14">
        <v>19125</v>
      </c>
      <c r="AL4" s="14">
        <v>2849</v>
      </c>
      <c r="AM4" s="14">
        <v>14.9</v>
      </c>
      <c r="AN4" s="14">
        <v>2000</v>
      </c>
      <c r="AO4" s="14">
        <v>7.5</v>
      </c>
      <c r="AP4" s="14">
        <v>306</v>
      </c>
      <c r="AQ4" s="15">
        <v>4.17</v>
      </c>
    </row>
    <row r="5" spans="1:43" x14ac:dyDescent="0.2">
      <c r="A5" s="10" t="s">
        <v>29</v>
      </c>
      <c r="B5" s="25">
        <v>16533</v>
      </c>
      <c r="C5" s="11">
        <v>32.4</v>
      </c>
      <c r="D5" s="11">
        <v>3.69</v>
      </c>
      <c r="E5" s="11">
        <v>0.11</v>
      </c>
      <c r="F5" s="23">
        <v>604</v>
      </c>
      <c r="G5" s="11">
        <v>320</v>
      </c>
      <c r="H5" s="11">
        <v>294</v>
      </c>
      <c r="I5" s="11">
        <v>229</v>
      </c>
      <c r="J5" s="11">
        <v>74.3</v>
      </c>
      <c r="K5" s="11">
        <v>19</v>
      </c>
      <c r="L5" s="11">
        <v>7</v>
      </c>
      <c r="M5" s="11">
        <v>70.3</v>
      </c>
      <c r="N5" s="11">
        <v>9</v>
      </c>
      <c r="O5" s="11">
        <v>11.9</v>
      </c>
      <c r="P5" s="11">
        <v>0.61099999999999999</v>
      </c>
      <c r="Q5" s="12" t="s">
        <v>240</v>
      </c>
      <c r="T5" s="10">
        <v>2</v>
      </c>
      <c r="U5" s="11">
        <v>1</v>
      </c>
      <c r="V5" s="11" t="s">
        <v>107</v>
      </c>
      <c r="W5" s="11" t="s">
        <v>21</v>
      </c>
      <c r="X5" s="11" t="s">
        <v>69</v>
      </c>
      <c r="Y5" s="11" t="s">
        <v>105</v>
      </c>
      <c r="Z5" s="29">
        <v>4.8</v>
      </c>
      <c r="AA5" s="11">
        <v>4421</v>
      </c>
      <c r="AB5" s="23">
        <v>150</v>
      </c>
      <c r="AC5" s="11">
        <v>3.2</v>
      </c>
      <c r="AD5" s="11">
        <v>99.7</v>
      </c>
      <c r="AE5" s="11">
        <v>1</v>
      </c>
      <c r="AF5" s="11">
        <v>0</v>
      </c>
      <c r="AG5" s="12" t="s">
        <v>108</v>
      </c>
    </row>
    <row r="6" spans="1:43" x14ac:dyDescent="0.2">
      <c r="A6" s="13" t="s">
        <v>4</v>
      </c>
      <c r="B6" s="26">
        <v>7810</v>
      </c>
      <c r="C6" s="14">
        <v>15.3</v>
      </c>
      <c r="D6" s="14">
        <v>4.04</v>
      </c>
      <c r="E6" s="14">
        <v>0.35</v>
      </c>
      <c r="F6" s="24">
        <v>1382</v>
      </c>
      <c r="G6" s="14">
        <v>778</v>
      </c>
      <c r="H6" s="14">
        <v>1015</v>
      </c>
      <c r="I6" s="14">
        <v>721</v>
      </c>
      <c r="J6" s="14">
        <v>92</v>
      </c>
      <c r="K6" s="14">
        <v>54.7</v>
      </c>
      <c r="L6" s="14">
        <v>2.5</v>
      </c>
      <c r="M6" s="14">
        <v>46.2</v>
      </c>
      <c r="N6" s="14">
        <v>61.9</v>
      </c>
      <c r="O6" s="14">
        <v>4</v>
      </c>
      <c r="P6" s="14">
        <v>0.29299999999999998</v>
      </c>
      <c r="Q6" s="15" t="s">
        <v>241</v>
      </c>
      <c r="T6" s="10">
        <v>3</v>
      </c>
      <c r="U6" s="11">
        <v>1</v>
      </c>
      <c r="V6" s="11" t="s">
        <v>109</v>
      </c>
      <c r="W6" s="11" t="s">
        <v>42</v>
      </c>
      <c r="X6" s="11" t="s">
        <v>87</v>
      </c>
      <c r="Y6" s="11" t="s">
        <v>105</v>
      </c>
      <c r="Z6" s="29">
        <v>4.3</v>
      </c>
      <c r="AA6" s="11">
        <v>3624</v>
      </c>
      <c r="AB6" s="23">
        <v>400</v>
      </c>
      <c r="AC6" s="11">
        <v>1.08</v>
      </c>
      <c r="AD6" s="11">
        <v>90.2</v>
      </c>
      <c r="AE6" s="11">
        <v>1</v>
      </c>
      <c r="AF6" s="11">
        <v>0</v>
      </c>
      <c r="AG6" s="12" t="s">
        <v>106</v>
      </c>
    </row>
    <row r="7" spans="1:43" ht="19" x14ac:dyDescent="0.25">
      <c r="T7" s="10">
        <v>4</v>
      </c>
      <c r="U7" s="11">
        <v>1</v>
      </c>
      <c r="V7" s="11" t="s">
        <v>110</v>
      </c>
      <c r="W7" s="11" t="s">
        <v>46</v>
      </c>
      <c r="X7" s="11" t="s">
        <v>69</v>
      </c>
      <c r="Y7" s="11" t="s">
        <v>105</v>
      </c>
      <c r="Z7" s="29">
        <v>4.5</v>
      </c>
      <c r="AA7" s="11">
        <v>2896</v>
      </c>
      <c r="AB7" s="23">
        <v>250</v>
      </c>
      <c r="AC7" s="11">
        <v>1.8</v>
      </c>
      <c r="AD7" s="11">
        <v>97</v>
      </c>
      <c r="AE7" s="11">
        <v>0</v>
      </c>
      <c r="AF7" s="11">
        <v>0</v>
      </c>
      <c r="AG7" s="12" t="s">
        <v>108</v>
      </c>
      <c r="AJ7" s="31" t="s">
        <v>243</v>
      </c>
      <c r="AK7" s="31"/>
      <c r="AL7" s="31"/>
      <c r="AM7" s="32"/>
      <c r="AN7" s="32"/>
      <c r="AO7" s="32"/>
      <c r="AP7" s="32"/>
      <c r="AQ7" s="32"/>
    </row>
    <row r="8" spans="1:43" x14ac:dyDescent="0.2">
      <c r="T8" s="10">
        <v>5</v>
      </c>
      <c r="U8" s="11">
        <v>1</v>
      </c>
      <c r="V8" s="11" t="s">
        <v>111</v>
      </c>
      <c r="W8" s="11" t="s">
        <v>46</v>
      </c>
      <c r="X8" s="11" t="s">
        <v>69</v>
      </c>
      <c r="Y8" s="11" t="s">
        <v>105</v>
      </c>
      <c r="Z8" s="29">
        <v>4.8</v>
      </c>
      <c r="AA8" s="11">
        <v>2679</v>
      </c>
      <c r="AB8" s="23">
        <v>100</v>
      </c>
      <c r="AC8" s="11">
        <v>4.8</v>
      </c>
      <c r="AD8" s="11">
        <v>99.7</v>
      </c>
      <c r="AE8" s="11">
        <v>0</v>
      </c>
      <c r="AF8" s="11">
        <v>0</v>
      </c>
      <c r="AG8" s="12" t="s">
        <v>108</v>
      </c>
    </row>
    <row r="9" spans="1:43" x14ac:dyDescent="0.2">
      <c r="T9" s="10">
        <v>6</v>
      </c>
      <c r="U9" s="11">
        <v>1</v>
      </c>
      <c r="V9" s="11" t="s">
        <v>112</v>
      </c>
      <c r="W9" s="11" t="s">
        <v>21</v>
      </c>
      <c r="X9" s="11" t="s">
        <v>69</v>
      </c>
      <c r="Y9" s="11" t="s">
        <v>105</v>
      </c>
      <c r="Z9" s="29">
        <v>4.5</v>
      </c>
      <c r="AA9" s="11">
        <v>2416</v>
      </c>
      <c r="AB9" s="23">
        <v>150</v>
      </c>
      <c r="AC9" s="11">
        <v>3</v>
      </c>
      <c r="AD9" s="11">
        <v>97</v>
      </c>
      <c r="AE9" s="11">
        <v>1</v>
      </c>
      <c r="AF9" s="11">
        <v>0</v>
      </c>
      <c r="AG9" s="12" t="s">
        <v>108</v>
      </c>
      <c r="AJ9" s="41" t="s">
        <v>244</v>
      </c>
      <c r="AK9" s="42" t="s">
        <v>245</v>
      </c>
      <c r="AL9" s="43" t="s">
        <v>246</v>
      </c>
    </row>
    <row r="10" spans="1:43" x14ac:dyDescent="0.2">
      <c r="T10" s="10">
        <v>7</v>
      </c>
      <c r="U10" s="11">
        <v>1</v>
      </c>
      <c r="V10" s="11" t="s">
        <v>113</v>
      </c>
      <c r="W10" s="11" t="s">
        <v>6</v>
      </c>
      <c r="X10" s="11" t="s">
        <v>86</v>
      </c>
      <c r="Y10" s="11" t="s">
        <v>114</v>
      </c>
      <c r="Z10" s="29">
        <v>4.7</v>
      </c>
      <c r="AA10" s="11">
        <v>2174</v>
      </c>
      <c r="AB10" s="23">
        <v>400</v>
      </c>
      <c r="AC10" s="11">
        <v>1.18</v>
      </c>
      <c r="AD10" s="11">
        <v>99.3</v>
      </c>
      <c r="AE10" s="11">
        <v>1</v>
      </c>
      <c r="AF10" s="11">
        <v>0</v>
      </c>
      <c r="AG10" s="12" t="s">
        <v>108</v>
      </c>
      <c r="AJ10" s="10" t="s">
        <v>247</v>
      </c>
      <c r="AK10" s="46">
        <v>26699</v>
      </c>
      <c r="AL10" s="44">
        <v>1</v>
      </c>
    </row>
    <row r="11" spans="1:43" x14ac:dyDescent="0.2">
      <c r="T11" s="10">
        <v>8</v>
      </c>
      <c r="U11" s="11">
        <v>1</v>
      </c>
      <c r="V11" s="11" t="s">
        <v>115</v>
      </c>
      <c r="W11" s="11" t="s">
        <v>6</v>
      </c>
      <c r="X11" s="11" t="s">
        <v>86</v>
      </c>
      <c r="Y11" s="11" t="s">
        <v>114</v>
      </c>
      <c r="Z11" s="29">
        <v>4.9000000000000004</v>
      </c>
      <c r="AA11" s="11">
        <v>2090</v>
      </c>
      <c r="AB11" s="23">
        <v>400</v>
      </c>
      <c r="AC11" s="11">
        <v>1.23</v>
      </c>
      <c r="AD11" s="11">
        <v>99.9</v>
      </c>
      <c r="AE11" s="11">
        <v>0</v>
      </c>
      <c r="AF11" s="11">
        <v>0</v>
      </c>
      <c r="AG11" s="12" t="s">
        <v>108</v>
      </c>
      <c r="AJ11" s="10" t="s">
        <v>248</v>
      </c>
      <c r="AK11" s="46">
        <v>19125</v>
      </c>
      <c r="AL11" s="44">
        <v>0.71599999999999997</v>
      </c>
    </row>
    <row r="12" spans="1:43" x14ac:dyDescent="0.2">
      <c r="T12" s="10">
        <v>9</v>
      </c>
      <c r="U12" s="11">
        <v>1</v>
      </c>
      <c r="V12" s="11" t="s">
        <v>116</v>
      </c>
      <c r="W12" s="11" t="s">
        <v>117</v>
      </c>
      <c r="X12" s="11" t="s">
        <v>86</v>
      </c>
      <c r="Y12" s="11" t="s">
        <v>114</v>
      </c>
      <c r="Z12" s="29">
        <v>4.4000000000000004</v>
      </c>
      <c r="AA12" s="11">
        <v>1916</v>
      </c>
      <c r="AB12" s="23">
        <v>400</v>
      </c>
      <c r="AC12" s="11">
        <v>1.1000000000000001</v>
      </c>
      <c r="AD12" s="11">
        <v>94.2</v>
      </c>
      <c r="AE12" s="11">
        <v>0</v>
      </c>
      <c r="AF12" s="11">
        <v>0</v>
      </c>
      <c r="AG12" s="12" t="s">
        <v>106</v>
      </c>
      <c r="AJ12" s="10" t="s">
        <v>249</v>
      </c>
      <c r="AK12" s="46">
        <v>7574</v>
      </c>
      <c r="AL12" s="44">
        <v>0.28399999999999997</v>
      </c>
    </row>
    <row r="13" spans="1:43" x14ac:dyDescent="0.2">
      <c r="T13" s="10">
        <v>10</v>
      </c>
      <c r="U13" s="11">
        <v>1</v>
      </c>
      <c r="V13" s="11" t="s">
        <v>118</v>
      </c>
      <c r="W13" s="11" t="s">
        <v>13</v>
      </c>
      <c r="X13" s="11" t="s">
        <v>82</v>
      </c>
      <c r="Y13" s="11" t="s">
        <v>114</v>
      </c>
      <c r="Z13" s="29">
        <v>4.3</v>
      </c>
      <c r="AA13" s="11">
        <v>1904</v>
      </c>
      <c r="AB13" s="23">
        <v>400</v>
      </c>
      <c r="AC13" s="11">
        <v>1.08</v>
      </c>
      <c r="AD13" s="11">
        <v>90.2</v>
      </c>
      <c r="AE13" s="11">
        <v>1</v>
      </c>
      <c r="AF13" s="11">
        <v>0</v>
      </c>
      <c r="AG13" s="12" t="s">
        <v>106</v>
      </c>
      <c r="AJ13" s="10" t="s">
        <v>250</v>
      </c>
      <c r="AK13" s="46">
        <v>2849</v>
      </c>
      <c r="AL13" s="44">
        <v>0.14899999999999999</v>
      </c>
    </row>
    <row r="14" spans="1:43" x14ac:dyDescent="0.2">
      <c r="T14" s="10">
        <v>11</v>
      </c>
      <c r="U14" s="11">
        <v>1</v>
      </c>
      <c r="V14" s="11" t="s">
        <v>110</v>
      </c>
      <c r="W14" s="11" t="s">
        <v>6</v>
      </c>
      <c r="X14" s="11" t="s">
        <v>69</v>
      </c>
      <c r="Y14" s="11" t="s">
        <v>105</v>
      </c>
      <c r="Z14" s="29">
        <v>4.3</v>
      </c>
      <c r="AA14" s="11">
        <v>1878</v>
      </c>
      <c r="AB14" s="23">
        <v>300</v>
      </c>
      <c r="AC14" s="11">
        <v>1.43</v>
      </c>
      <c r="AD14" s="11">
        <v>90.2</v>
      </c>
      <c r="AE14" s="11">
        <v>0</v>
      </c>
      <c r="AF14" s="11">
        <v>0</v>
      </c>
      <c r="AG14" s="12" t="s">
        <v>106</v>
      </c>
      <c r="AJ14" s="10" t="s">
        <v>251</v>
      </c>
      <c r="AK14" s="46">
        <v>2000</v>
      </c>
      <c r="AL14" s="44">
        <v>7.4999999999999997E-2</v>
      </c>
    </row>
    <row r="15" spans="1:43" x14ac:dyDescent="0.2">
      <c r="T15" s="10">
        <v>12</v>
      </c>
      <c r="U15" s="11">
        <v>1</v>
      </c>
      <c r="V15" s="11" t="s">
        <v>119</v>
      </c>
      <c r="W15" s="11" t="s">
        <v>35</v>
      </c>
      <c r="X15" s="11" t="s">
        <v>72</v>
      </c>
      <c r="Y15" s="11" t="s">
        <v>105</v>
      </c>
      <c r="Z15" s="29">
        <v>4.4000000000000004</v>
      </c>
      <c r="AA15" s="11">
        <v>1833</v>
      </c>
      <c r="AB15" s="23">
        <v>200</v>
      </c>
      <c r="AC15" s="11">
        <v>2.2000000000000002</v>
      </c>
      <c r="AD15" s="11">
        <v>94.2</v>
      </c>
      <c r="AE15" s="11">
        <v>0</v>
      </c>
      <c r="AF15" s="11">
        <v>0</v>
      </c>
      <c r="AG15" s="12" t="s">
        <v>106</v>
      </c>
      <c r="AJ15" s="13" t="s">
        <v>252</v>
      </c>
      <c r="AK15" s="47">
        <v>849</v>
      </c>
      <c r="AL15" s="45">
        <v>4.4999999999999998E-2</v>
      </c>
    </row>
    <row r="16" spans="1:43" x14ac:dyDescent="0.2">
      <c r="T16" s="10">
        <v>13</v>
      </c>
      <c r="U16" s="11">
        <v>1</v>
      </c>
      <c r="V16" s="11" t="s">
        <v>120</v>
      </c>
      <c r="W16" s="11" t="s">
        <v>34</v>
      </c>
      <c r="X16" s="11" t="s">
        <v>82</v>
      </c>
      <c r="Y16" s="11" t="s">
        <v>114</v>
      </c>
      <c r="Z16" s="29">
        <v>4.5999999999999996</v>
      </c>
      <c r="AA16" s="11">
        <v>1822</v>
      </c>
      <c r="AB16" s="23">
        <v>400</v>
      </c>
      <c r="AC16" s="11">
        <v>1.1499999999999999</v>
      </c>
      <c r="AD16" s="11">
        <v>98.6</v>
      </c>
      <c r="AE16" s="11">
        <v>1</v>
      </c>
      <c r="AF16" s="11">
        <v>0</v>
      </c>
      <c r="AG16" s="12" t="s">
        <v>108</v>
      </c>
    </row>
    <row r="17" spans="20:40" x14ac:dyDescent="0.2">
      <c r="T17" s="10">
        <v>14</v>
      </c>
      <c r="U17" s="11">
        <v>1</v>
      </c>
      <c r="V17" s="11" t="s">
        <v>121</v>
      </c>
      <c r="W17" s="11" t="s">
        <v>35</v>
      </c>
      <c r="X17" s="11" t="s">
        <v>17</v>
      </c>
      <c r="Y17" s="11" t="s">
        <v>105</v>
      </c>
      <c r="Z17" s="29">
        <v>4</v>
      </c>
      <c r="AA17" s="11">
        <v>1785</v>
      </c>
      <c r="AB17" s="23">
        <v>200</v>
      </c>
      <c r="AC17" s="11">
        <v>2</v>
      </c>
      <c r="AD17" s="11">
        <v>70.2</v>
      </c>
      <c r="AE17" s="11">
        <v>1</v>
      </c>
      <c r="AF17" s="11">
        <v>0</v>
      </c>
      <c r="AG17" s="12" t="s">
        <v>122</v>
      </c>
    </row>
    <row r="18" spans="20:40" ht="19" x14ac:dyDescent="0.25">
      <c r="T18" s="13">
        <v>15</v>
      </c>
      <c r="U18" s="14">
        <v>1</v>
      </c>
      <c r="V18" s="14" t="s">
        <v>123</v>
      </c>
      <c r="W18" s="14" t="s">
        <v>40</v>
      </c>
      <c r="X18" s="14" t="s">
        <v>82</v>
      </c>
      <c r="Y18" s="14" t="s">
        <v>114</v>
      </c>
      <c r="Z18" s="30">
        <v>4.9000000000000004</v>
      </c>
      <c r="AA18" s="14">
        <v>1750</v>
      </c>
      <c r="AB18" s="24">
        <v>400</v>
      </c>
      <c r="AC18" s="14">
        <v>1.23</v>
      </c>
      <c r="AD18" s="14">
        <v>99.9</v>
      </c>
      <c r="AE18" s="14">
        <v>1</v>
      </c>
      <c r="AF18" s="14">
        <v>0</v>
      </c>
      <c r="AG18" s="15" t="s">
        <v>108</v>
      </c>
      <c r="AJ18" s="31" t="s">
        <v>253</v>
      </c>
      <c r="AK18" s="31"/>
      <c r="AL18" s="31"/>
      <c r="AM18" s="32"/>
      <c r="AN18" s="32"/>
    </row>
    <row r="20" spans="20:40" x14ac:dyDescent="0.2">
      <c r="AJ20" s="48">
        <v>500</v>
      </c>
      <c r="AK20" s="48"/>
      <c r="AL20" s="48"/>
    </row>
    <row r="21" spans="20:40" x14ac:dyDescent="0.2">
      <c r="AJ21" s="49" t="str">
        <f>IF(AJ20&lt;=400,"Budget",IF(AJ20&lt;=800,"Mid-range","Premium"))</f>
        <v>Mid-range</v>
      </c>
      <c r="AK21" s="49"/>
      <c r="AL21" s="49"/>
    </row>
    <row r="22" spans="20:40" x14ac:dyDescent="0.2">
      <c r="AJ22" s="49">
        <f>INDEX($D$4:$D$6,MATCH(AJ21,$A$4:$A$6,0))</f>
        <v>3.69</v>
      </c>
      <c r="AK22" s="49"/>
      <c r="AL22" s="49"/>
    </row>
    <row r="23" spans="20:40" x14ac:dyDescent="0.2">
      <c r="AJ23" s="49">
        <f>INDEX($J$4:$J$6,MATCH(AJ21,$A$4:$A$6,0))</f>
        <v>74.3</v>
      </c>
      <c r="AK23" s="49"/>
      <c r="AL23" s="49"/>
    </row>
  </sheetData>
  <mergeCells count="8">
    <mergeCell ref="AJ20:AL20"/>
    <mergeCell ref="AJ21:AL21"/>
    <mergeCell ref="AJ22:AL22"/>
    <mergeCell ref="AJ23:AL23"/>
    <mergeCell ref="A1:Q1"/>
    <mergeCell ref="T1:AH1"/>
    <mergeCell ref="AJ7:AL7"/>
    <mergeCell ref="AJ18:AL18"/>
  </mergeCells>
  <conditionalFormatting sqref="D1:D1048576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{2566465D-C1C5-FD45-9900-04D6799B742B}</x14:id>
        </ext>
      </extLst>
    </cfRule>
  </conditionalFormatting>
  <conditionalFormatting sqref="J1:J1048576">
    <cfRule type="colorScale" priority="1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L1:L1048576">
    <cfRule type="colorScale" priority="13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P1:P1048576">
    <cfRule type="dataBar" priority="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{D21E2388-9C90-D345-9E8D-3780299703F2}</x14:id>
        </ext>
      </extLst>
    </cfRule>
  </conditionalFormatting>
  <conditionalFormatting sqref="Q1:Q1048576">
    <cfRule type="containsText" dxfId="10" priority="9" operator="containsText" text="Baseline">
      <formula>NOT(ISERROR(SEARCH("Baseline",Q1)))</formula>
    </cfRule>
    <cfRule type="containsText" dxfId="9" priority="10" operator="containsText" text="Marginal">
      <formula>NOT(ISERROR(SEARCH("Marginal",Q1)))</formula>
    </cfRule>
    <cfRule type="containsText" dxfId="8" priority="11" operator="containsText" text="Justified">
      <formula>NOT(ISERROR(SEARCH("Justified",Q1)))</formula>
    </cfRule>
  </conditionalFormatting>
  <conditionalFormatting sqref="AC1:AC1048576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{5D77A30A-F31F-9746-8B61-A9F818258939}</x14:id>
        </ext>
      </extLst>
    </cfRule>
  </conditionalFormatting>
  <conditionalFormatting sqref="AD1:AD1048576">
    <cfRule type="colorScale" priority="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G1:AG1048576">
    <cfRule type="containsText" dxfId="7" priority="4" operator="containsText" text="Very Good">
      <formula>NOT(ISERROR(SEARCH("Very Good",AG1)))</formula>
    </cfRule>
    <cfRule type="containsText" dxfId="6" priority="5" operator="containsText" text="Excellent">
      <formula>NOT(ISERROR(SEARCH("Excellent",AG1)))</formula>
    </cfRule>
    <cfRule type="containsText" dxfId="5" priority="6" operator="containsText" text="Exceptional">
      <formula>NOT(ISERROR(SEARCH("Exceptional",AG1)))</formula>
    </cfRule>
  </conditionalFormatting>
  <conditionalFormatting sqref="Z1:Z1048576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{05C52711-3CA2-0C4D-8530-97F2F884DB44}</x14:id>
        </ext>
      </extLst>
    </cfRule>
  </conditionalFormatting>
  <conditionalFormatting sqref="AK10:AK15">
    <cfRule type="dataBar" priority="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{0F14AABE-C381-5045-B88C-C0ADB53B2657}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566465D-C1C5-FD45-9900-04D6799B742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D1:D1048576</xm:sqref>
        </x14:conditionalFormatting>
        <x14:conditionalFormatting xmlns:xm="http://schemas.microsoft.com/office/excel/2006/main">
          <x14:cfRule type="dataBar" id="{D21E2388-9C90-D345-9E8D-3780299703F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P1:P1048576</xm:sqref>
        </x14:conditionalFormatting>
        <x14:conditionalFormatting xmlns:xm="http://schemas.microsoft.com/office/excel/2006/main">
          <x14:cfRule type="dataBar" id="{5D77A30A-F31F-9746-8B61-A9F81825893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AC1:AC1048576</xm:sqref>
        </x14:conditionalFormatting>
        <x14:conditionalFormatting xmlns:xm="http://schemas.microsoft.com/office/excel/2006/main">
          <x14:cfRule type="dataBar" id="{05C52711-3CA2-0C4D-8530-97F2F884DB4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Z1:Z1048576</xm:sqref>
        </x14:conditionalFormatting>
        <x14:conditionalFormatting xmlns:xm="http://schemas.microsoft.com/office/excel/2006/main">
          <x14:cfRule type="dataBar" id="{0F14AABE-C381-5045-B88C-C0ADB53B2657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AK10:AK15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2EF00-39CD-2945-8CEC-1C2877571E61}">
  <dimension ref="A1:AZ18"/>
  <sheetViews>
    <sheetView workbookViewId="0">
      <pane ySplit="5" topLeftCell="A6" activePane="bottomLeft" state="frozen"/>
      <selection pane="bottomLeft" activeCell="X21" sqref="X21"/>
    </sheetView>
  </sheetViews>
  <sheetFormatPr baseColWidth="10" defaultRowHeight="16" x14ac:dyDescent="0.2"/>
  <cols>
    <col min="1" max="1" width="13.83203125" bestFit="1" customWidth="1"/>
    <col min="2" max="2" width="17.83203125" bestFit="1" customWidth="1"/>
    <col min="3" max="3" width="20.1640625" bestFit="1" customWidth="1"/>
    <col min="4" max="4" width="11" bestFit="1" customWidth="1"/>
    <col min="5" max="5" width="14.6640625" bestFit="1" customWidth="1"/>
    <col min="6" max="6" width="17" bestFit="1" customWidth="1"/>
    <col min="7" max="7" width="9.5" bestFit="1" customWidth="1"/>
    <col min="8" max="8" width="13.1640625" bestFit="1" customWidth="1"/>
    <col min="9" max="9" width="10.5" bestFit="1" customWidth="1"/>
    <col min="10" max="10" width="24.83203125" bestFit="1" customWidth="1"/>
    <col min="11" max="11" width="22.33203125" bestFit="1" customWidth="1"/>
    <col min="12" max="12" width="17.83203125" bestFit="1" customWidth="1"/>
    <col min="13" max="13" width="13.33203125" bestFit="1" customWidth="1"/>
    <col min="14" max="14" width="16.6640625" bestFit="1" customWidth="1"/>
    <col min="15" max="15" width="13" bestFit="1" customWidth="1"/>
    <col min="18" max="18" width="14" bestFit="1" customWidth="1"/>
    <col min="19" max="19" width="15.83203125" bestFit="1" customWidth="1"/>
    <col min="20" max="20" width="18.6640625" bestFit="1" customWidth="1"/>
    <col min="21" max="21" width="23.83203125" bestFit="1" customWidth="1"/>
    <col min="22" max="22" width="11.33203125" bestFit="1" customWidth="1"/>
    <col min="23" max="23" width="9.83203125" bestFit="1" customWidth="1"/>
    <col min="24" max="24" width="11" bestFit="1" customWidth="1"/>
    <col min="25" max="25" width="16.6640625" bestFit="1" customWidth="1"/>
    <col min="26" max="26" width="10.83203125" style="2"/>
    <col min="28" max="28" width="17.6640625" bestFit="1" customWidth="1"/>
    <col min="29" max="29" width="17.83203125" bestFit="1" customWidth="1"/>
    <col min="30" max="30" width="22.33203125" bestFit="1" customWidth="1"/>
    <col min="31" max="31" width="11" bestFit="1" customWidth="1"/>
    <col min="32" max="32" width="14.6640625" bestFit="1" customWidth="1"/>
    <col min="33" max="33" width="17" bestFit="1" customWidth="1"/>
    <col min="34" max="34" width="9.5" bestFit="1" customWidth="1"/>
    <col min="35" max="35" width="10.5" bestFit="1" customWidth="1"/>
    <col min="36" max="36" width="22.33203125" bestFit="1" customWidth="1"/>
    <col min="37" max="37" width="17.83203125" bestFit="1" customWidth="1"/>
    <col min="38" max="38" width="13.33203125" bestFit="1" customWidth="1"/>
    <col min="39" max="39" width="16.6640625" bestFit="1" customWidth="1"/>
    <col min="40" max="40" width="17.83203125" bestFit="1" customWidth="1"/>
    <col min="41" max="41" width="13" bestFit="1" customWidth="1"/>
    <col min="42" max="42" width="15.1640625" bestFit="1" customWidth="1"/>
    <col min="45" max="45" width="15.5" bestFit="1" customWidth="1"/>
    <col min="46" max="46" width="13" bestFit="1" customWidth="1"/>
    <col min="47" max="47" width="22.5" bestFit="1" customWidth="1"/>
    <col min="48" max="48" width="20.33203125" bestFit="1" customWidth="1"/>
    <col min="49" max="49" width="19.1640625" bestFit="1" customWidth="1"/>
    <col min="50" max="50" width="16" bestFit="1" customWidth="1"/>
    <col min="51" max="51" width="15.5" bestFit="1" customWidth="1"/>
    <col min="52" max="52" width="10.83203125" style="2"/>
  </cols>
  <sheetData>
    <row r="1" spans="1:51" ht="19" x14ac:dyDescent="0.25">
      <c r="A1" s="1" t="s">
        <v>131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AB1" s="1" t="s">
        <v>130</v>
      </c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</row>
    <row r="3" spans="1:51" x14ac:dyDescent="0.2">
      <c r="H3" s="4" t="s">
        <v>78</v>
      </c>
      <c r="T3" s="4" t="s">
        <v>77</v>
      </c>
      <c r="AH3" s="4" t="s">
        <v>78</v>
      </c>
      <c r="AV3" s="4" t="s">
        <v>77</v>
      </c>
    </row>
    <row r="5" spans="1:51" ht="19" x14ac:dyDescent="0.25">
      <c r="A5" s="7" t="s">
        <v>215</v>
      </c>
      <c r="B5" s="8" t="s">
        <v>158</v>
      </c>
      <c r="C5" s="8" t="s">
        <v>254</v>
      </c>
      <c r="D5" s="8" t="s">
        <v>160</v>
      </c>
      <c r="E5" s="8" t="s">
        <v>213</v>
      </c>
      <c r="F5" s="8" t="s">
        <v>168</v>
      </c>
      <c r="G5" s="8" t="s">
        <v>164</v>
      </c>
      <c r="H5" s="8" t="s">
        <v>217</v>
      </c>
      <c r="I5" s="8" t="s">
        <v>159</v>
      </c>
      <c r="J5" s="8" t="s">
        <v>255</v>
      </c>
      <c r="K5" s="8" t="s">
        <v>224</v>
      </c>
      <c r="L5" s="8" t="s">
        <v>225</v>
      </c>
      <c r="M5" s="8" t="s">
        <v>228</v>
      </c>
      <c r="N5" s="8" t="s">
        <v>223</v>
      </c>
      <c r="O5" s="9" t="s">
        <v>166</v>
      </c>
      <c r="R5" s="7" t="s">
        <v>215</v>
      </c>
      <c r="S5" s="8" t="s">
        <v>143</v>
      </c>
      <c r="T5" s="8" t="s">
        <v>216</v>
      </c>
      <c r="U5" s="8" t="s">
        <v>256</v>
      </c>
      <c r="V5" s="8" t="s">
        <v>160</v>
      </c>
      <c r="W5" s="8" t="s">
        <v>164</v>
      </c>
      <c r="X5" s="8" t="s">
        <v>159</v>
      </c>
      <c r="Y5" s="50" t="s">
        <v>262</v>
      </c>
      <c r="AB5" s="7" t="s">
        <v>212</v>
      </c>
      <c r="AC5" s="8" t="s">
        <v>158</v>
      </c>
      <c r="AD5" s="8" t="s">
        <v>254</v>
      </c>
      <c r="AE5" s="8" t="s">
        <v>160</v>
      </c>
      <c r="AF5" s="8" t="s">
        <v>213</v>
      </c>
      <c r="AG5" s="8" t="s">
        <v>168</v>
      </c>
      <c r="AH5" s="8" t="s">
        <v>164</v>
      </c>
      <c r="AI5" s="8" t="s">
        <v>159</v>
      </c>
      <c r="AJ5" s="8" t="s">
        <v>224</v>
      </c>
      <c r="AK5" s="8" t="s">
        <v>225</v>
      </c>
      <c r="AL5" s="8" t="s">
        <v>228</v>
      </c>
      <c r="AM5" s="8" t="s">
        <v>223</v>
      </c>
      <c r="AN5" s="8" t="s">
        <v>257</v>
      </c>
      <c r="AO5" s="8" t="s">
        <v>166</v>
      </c>
      <c r="AP5" s="9" t="s">
        <v>214</v>
      </c>
      <c r="AS5" s="7" t="s">
        <v>143</v>
      </c>
      <c r="AT5" s="8" t="s">
        <v>210</v>
      </c>
      <c r="AU5" s="8" t="s">
        <v>258</v>
      </c>
      <c r="AV5" s="8" t="s">
        <v>259</v>
      </c>
      <c r="AW5" s="8" t="s">
        <v>260</v>
      </c>
      <c r="AX5" s="8" t="s">
        <v>261</v>
      </c>
      <c r="AY5" s="9" t="s">
        <v>211</v>
      </c>
    </row>
    <row r="6" spans="1:51" x14ac:dyDescent="0.2">
      <c r="A6" s="10" t="s">
        <v>124</v>
      </c>
      <c r="B6" s="25">
        <v>30874</v>
      </c>
      <c r="C6" s="11">
        <v>60.5</v>
      </c>
      <c r="D6" s="11">
        <v>3.72</v>
      </c>
      <c r="E6" s="29">
        <v>3.8</v>
      </c>
      <c r="F6" s="11">
        <v>0.02</v>
      </c>
      <c r="G6" s="23">
        <v>523</v>
      </c>
      <c r="H6" s="23">
        <v>400</v>
      </c>
      <c r="I6" s="11">
        <v>305</v>
      </c>
      <c r="J6" s="11">
        <v>12.2</v>
      </c>
      <c r="K6" s="11">
        <v>75.400000000000006</v>
      </c>
      <c r="L6" s="11">
        <v>19.600000000000001</v>
      </c>
      <c r="M6" s="11">
        <v>4.4000000000000004</v>
      </c>
      <c r="N6" s="11">
        <v>10.7</v>
      </c>
      <c r="O6" s="12">
        <v>0.71099999999999997</v>
      </c>
      <c r="R6" s="10" t="s">
        <v>124</v>
      </c>
      <c r="S6" s="11" t="s">
        <v>28</v>
      </c>
      <c r="T6" s="25">
        <v>15646</v>
      </c>
      <c r="U6" s="11">
        <v>50.7</v>
      </c>
      <c r="V6" s="29">
        <v>3.61</v>
      </c>
      <c r="W6" s="23">
        <v>294</v>
      </c>
      <c r="X6" s="11">
        <v>88</v>
      </c>
      <c r="Y6" s="36">
        <f>V6-V9</f>
        <v>0.10000000000000009</v>
      </c>
      <c r="AB6" s="10" t="s">
        <v>205</v>
      </c>
      <c r="AC6" s="25">
        <v>3777</v>
      </c>
      <c r="AD6" s="11">
        <v>7.4</v>
      </c>
      <c r="AE6" s="29">
        <v>4.13</v>
      </c>
      <c r="AF6" s="29">
        <v>4.0999999999999996</v>
      </c>
      <c r="AG6" s="11">
        <v>0.43</v>
      </c>
      <c r="AH6" s="23">
        <v>1093</v>
      </c>
      <c r="AI6" s="11">
        <v>1172</v>
      </c>
      <c r="AJ6" s="11">
        <v>98.1</v>
      </c>
      <c r="AK6" s="11">
        <v>65.900000000000006</v>
      </c>
      <c r="AL6" s="11">
        <v>0.6</v>
      </c>
      <c r="AM6" s="11">
        <v>0.8</v>
      </c>
      <c r="AN6" s="11">
        <v>66.7</v>
      </c>
      <c r="AO6" s="11">
        <v>0.378</v>
      </c>
      <c r="AP6" s="12" t="s">
        <v>126</v>
      </c>
      <c r="AS6" s="10" t="s">
        <v>28</v>
      </c>
      <c r="AT6" s="25">
        <v>26699</v>
      </c>
      <c r="AU6" s="11">
        <v>0.2</v>
      </c>
      <c r="AV6" s="11">
        <v>58.4</v>
      </c>
      <c r="AW6" s="11">
        <v>0.1</v>
      </c>
      <c r="AX6" s="11">
        <v>41.3</v>
      </c>
      <c r="AY6" s="12">
        <v>3.58</v>
      </c>
    </row>
    <row r="7" spans="1:51" x14ac:dyDescent="0.2">
      <c r="A7" s="13" t="s">
        <v>125</v>
      </c>
      <c r="B7" s="26">
        <v>20168</v>
      </c>
      <c r="C7" s="14">
        <v>39.5</v>
      </c>
      <c r="D7" s="14">
        <v>3.67</v>
      </c>
      <c r="E7" s="30">
        <v>3.7</v>
      </c>
      <c r="F7" s="14">
        <v>-0.03</v>
      </c>
      <c r="G7" s="24">
        <v>607</v>
      </c>
      <c r="H7" s="24">
        <v>400</v>
      </c>
      <c r="I7" s="14">
        <v>254</v>
      </c>
      <c r="J7" s="14">
        <v>13</v>
      </c>
      <c r="K7" s="14">
        <v>66.7</v>
      </c>
      <c r="L7" s="14">
        <v>15.2</v>
      </c>
      <c r="M7" s="14">
        <v>4.2</v>
      </c>
      <c r="N7" s="14">
        <v>32.4</v>
      </c>
      <c r="O7" s="15">
        <v>0.60499999999999998</v>
      </c>
      <c r="R7" s="10" t="s">
        <v>124</v>
      </c>
      <c r="S7" s="11" t="s">
        <v>29</v>
      </c>
      <c r="T7" s="25">
        <v>11616</v>
      </c>
      <c r="U7" s="11">
        <v>37.6</v>
      </c>
      <c r="V7" s="29">
        <v>3.72</v>
      </c>
      <c r="W7" s="23">
        <v>604</v>
      </c>
      <c r="X7" s="11">
        <v>341</v>
      </c>
      <c r="Y7" s="36">
        <f>V7-V10</f>
        <v>0.15000000000000036</v>
      </c>
      <c r="AB7" s="10" t="s">
        <v>206</v>
      </c>
      <c r="AC7" s="25">
        <v>27097</v>
      </c>
      <c r="AD7" s="11">
        <v>53.1</v>
      </c>
      <c r="AE7" s="29">
        <v>3.65</v>
      </c>
      <c r="AF7" s="29">
        <v>3.7</v>
      </c>
      <c r="AG7" s="11">
        <v>-0.05</v>
      </c>
      <c r="AH7" s="23">
        <v>443</v>
      </c>
      <c r="AI7" s="11">
        <v>184</v>
      </c>
      <c r="AJ7" s="11">
        <v>71.8</v>
      </c>
      <c r="AK7" s="11">
        <v>13.2</v>
      </c>
      <c r="AL7" s="11">
        <v>5</v>
      </c>
      <c r="AM7" s="11">
        <v>12.1</v>
      </c>
      <c r="AN7" s="11">
        <v>4</v>
      </c>
      <c r="AO7" s="11">
        <v>0.82499999999999996</v>
      </c>
      <c r="AP7" s="12" t="s">
        <v>127</v>
      </c>
      <c r="AS7" s="10" t="s">
        <v>29</v>
      </c>
      <c r="AT7" s="25">
        <v>16533</v>
      </c>
      <c r="AU7" s="11">
        <v>7.3</v>
      </c>
      <c r="AV7" s="11">
        <v>63</v>
      </c>
      <c r="AW7" s="11">
        <v>1.7</v>
      </c>
      <c r="AX7" s="11">
        <v>28</v>
      </c>
      <c r="AY7" s="12">
        <v>3.69</v>
      </c>
    </row>
    <row r="8" spans="1:51" x14ac:dyDescent="0.2">
      <c r="R8" s="10" t="s">
        <v>124</v>
      </c>
      <c r="S8" s="11" t="s">
        <v>4</v>
      </c>
      <c r="T8" s="25">
        <v>3612</v>
      </c>
      <c r="U8" s="11">
        <v>11.7</v>
      </c>
      <c r="V8" s="29">
        <v>4.0999999999999996</v>
      </c>
      <c r="W8" s="23">
        <v>1252</v>
      </c>
      <c r="X8" s="11">
        <v>1126</v>
      </c>
      <c r="Y8" s="36">
        <f>V8-V11</f>
        <v>9.9999999999999645E-2</v>
      </c>
      <c r="AB8" s="10" t="s">
        <v>207</v>
      </c>
      <c r="AC8" s="25">
        <v>2615</v>
      </c>
      <c r="AD8" s="11">
        <v>5.0999999999999996</v>
      </c>
      <c r="AE8" s="29">
        <v>4.16</v>
      </c>
      <c r="AF8" s="29">
        <v>4.2</v>
      </c>
      <c r="AG8" s="11">
        <v>0.46</v>
      </c>
      <c r="AH8" s="23">
        <v>1528</v>
      </c>
      <c r="AI8" s="11">
        <v>1126</v>
      </c>
      <c r="AJ8" s="11">
        <v>98.8</v>
      </c>
      <c r="AK8" s="11">
        <v>66</v>
      </c>
      <c r="AL8" s="11">
        <v>0.6</v>
      </c>
      <c r="AM8" s="11">
        <v>3.7</v>
      </c>
      <c r="AN8" s="11">
        <v>88.4</v>
      </c>
      <c r="AO8" s="11">
        <v>0.27300000000000002</v>
      </c>
      <c r="AP8" s="12" t="s">
        <v>126</v>
      </c>
      <c r="AS8" s="13" t="s">
        <v>4</v>
      </c>
      <c r="AT8" s="26">
        <v>7810</v>
      </c>
      <c r="AU8" s="14">
        <v>32.299999999999997</v>
      </c>
      <c r="AV8" s="14">
        <v>14</v>
      </c>
      <c r="AW8" s="14">
        <v>29.6</v>
      </c>
      <c r="AX8" s="14">
        <v>24.2</v>
      </c>
      <c r="AY8" s="15">
        <v>4.04</v>
      </c>
    </row>
    <row r="9" spans="1:51" x14ac:dyDescent="0.2">
      <c r="R9" s="10" t="s">
        <v>125</v>
      </c>
      <c r="S9" s="11" t="s">
        <v>28</v>
      </c>
      <c r="T9" s="25">
        <v>11053</v>
      </c>
      <c r="U9" s="11">
        <v>54.8</v>
      </c>
      <c r="V9" s="29">
        <v>3.51</v>
      </c>
      <c r="W9" s="23">
        <v>271</v>
      </c>
      <c r="X9" s="11">
        <v>33</v>
      </c>
      <c r="Y9" s="12"/>
      <c r="AB9" s="10" t="s">
        <v>208</v>
      </c>
      <c r="AC9" s="25">
        <v>17553</v>
      </c>
      <c r="AD9" s="11">
        <v>34.4</v>
      </c>
      <c r="AE9" s="29">
        <v>3.56</v>
      </c>
      <c r="AF9" s="29">
        <v>3.6</v>
      </c>
      <c r="AG9" s="11">
        <v>-0.14000000000000001</v>
      </c>
      <c r="AH9" s="23">
        <v>469</v>
      </c>
      <c r="AI9" s="11">
        <v>124</v>
      </c>
      <c r="AJ9" s="11">
        <v>59.5</v>
      </c>
      <c r="AK9" s="11">
        <v>7.7</v>
      </c>
      <c r="AL9" s="11">
        <v>4.7</v>
      </c>
      <c r="AM9" s="11">
        <v>36.700000000000003</v>
      </c>
      <c r="AN9" s="11">
        <v>10.8</v>
      </c>
      <c r="AO9" s="11">
        <v>0.75800000000000001</v>
      </c>
      <c r="AP9" s="12" t="s">
        <v>128</v>
      </c>
    </row>
    <row r="10" spans="1:51" x14ac:dyDescent="0.2">
      <c r="R10" s="10" t="s">
        <v>125</v>
      </c>
      <c r="S10" s="11" t="s">
        <v>29</v>
      </c>
      <c r="T10" s="25">
        <v>4917</v>
      </c>
      <c r="U10" s="11">
        <v>24.4</v>
      </c>
      <c r="V10" s="29">
        <v>3.57</v>
      </c>
      <c r="W10" s="23">
        <v>602</v>
      </c>
      <c r="X10" s="11">
        <v>182</v>
      </c>
      <c r="Y10" s="12"/>
      <c r="AB10" s="13" t="s">
        <v>209</v>
      </c>
      <c r="AC10" s="26">
        <v>51042</v>
      </c>
      <c r="AD10" s="14">
        <v>100</v>
      </c>
      <c r="AE10" s="30">
        <v>3.7</v>
      </c>
      <c r="AF10" s="30">
        <v>3.7</v>
      </c>
      <c r="AG10" s="14">
        <v>0</v>
      </c>
      <c r="AH10" s="24">
        <v>556</v>
      </c>
      <c r="AI10" s="14">
        <v>285</v>
      </c>
      <c r="AJ10" s="14">
        <v>72.5</v>
      </c>
      <c r="AK10" s="14">
        <v>17.899999999999999</v>
      </c>
      <c r="AL10" s="14">
        <v>4.3</v>
      </c>
      <c r="AM10" s="14">
        <v>19.3</v>
      </c>
      <c r="AN10" s="14">
        <v>15.3</v>
      </c>
      <c r="AO10" s="14">
        <v>0.66600000000000004</v>
      </c>
      <c r="AP10" s="15" t="s">
        <v>129</v>
      </c>
    </row>
    <row r="11" spans="1:51" x14ac:dyDescent="0.2">
      <c r="R11" s="13" t="s">
        <v>125</v>
      </c>
      <c r="S11" s="14" t="s">
        <v>4</v>
      </c>
      <c r="T11" s="26">
        <v>4198</v>
      </c>
      <c r="U11" s="14">
        <v>20.8</v>
      </c>
      <c r="V11" s="30">
        <v>4</v>
      </c>
      <c r="W11" s="24">
        <v>1494</v>
      </c>
      <c r="X11" s="14">
        <v>919</v>
      </c>
      <c r="Y11" s="15"/>
    </row>
    <row r="13" spans="1:51" ht="19" x14ac:dyDescent="0.25">
      <c r="AB13" s="7" t="s">
        <v>212</v>
      </c>
      <c r="AC13" s="8" t="s">
        <v>160</v>
      </c>
      <c r="AD13" s="9" t="s">
        <v>224</v>
      </c>
    </row>
    <row r="14" spans="1:51" x14ac:dyDescent="0.2">
      <c r="AB14" s="10" t="s">
        <v>205</v>
      </c>
      <c r="AC14" s="29">
        <v>4.13</v>
      </c>
      <c r="AD14" s="12">
        <v>98.1</v>
      </c>
    </row>
    <row r="15" spans="1:51" x14ac:dyDescent="0.2">
      <c r="AB15" s="10" t="s">
        <v>206</v>
      </c>
      <c r="AC15" s="29">
        <v>3.65</v>
      </c>
      <c r="AD15" s="12">
        <v>71.8</v>
      </c>
    </row>
    <row r="16" spans="1:51" x14ac:dyDescent="0.2">
      <c r="AB16" s="10" t="s">
        <v>207</v>
      </c>
      <c r="AC16" s="29">
        <v>4.16</v>
      </c>
      <c r="AD16" s="12">
        <v>98.8</v>
      </c>
    </row>
    <row r="17" spans="28:30" x14ac:dyDescent="0.2">
      <c r="AB17" s="10" t="s">
        <v>208</v>
      </c>
      <c r="AC17" s="29">
        <v>3.56</v>
      </c>
      <c r="AD17" s="12">
        <v>59.5</v>
      </c>
    </row>
    <row r="18" spans="28:30" x14ac:dyDescent="0.2">
      <c r="AB18" s="13" t="s">
        <v>209</v>
      </c>
      <c r="AC18" s="30">
        <v>3.7</v>
      </c>
      <c r="AD18" s="15">
        <v>72.5</v>
      </c>
    </row>
  </sheetData>
  <mergeCells count="2">
    <mergeCell ref="A1:N1"/>
    <mergeCell ref="AB1:AQ1"/>
  </mergeCells>
  <conditionalFormatting sqref="E1:E1048576">
    <cfRule type="dataBar" priority="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{551C1EC2-0A91-5C4E-B6C5-E509E72103B8}</x14:id>
        </ext>
      </extLst>
    </cfRule>
  </conditionalFormatting>
  <conditionalFormatting sqref="D1:D1048576">
    <cfRule type="dataBar" priority="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{AC47DB24-42FF-254E-865F-2817CEA5A37D}</x14:id>
        </ext>
      </extLst>
    </cfRule>
  </conditionalFormatting>
  <conditionalFormatting sqref="K1:K1048576">
    <cfRule type="colorScale" priority="1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O1:O1048576">
    <cfRule type="dataBar" priority="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{646185A7-141F-AB4F-ABDC-6659DB9962ED}</x14:id>
        </ext>
      </extLst>
    </cfRule>
  </conditionalFormatting>
  <conditionalFormatting sqref="N1:N1048576">
    <cfRule type="colorScale" priority="17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F1:F1048576">
    <cfRule type="colorScale" priority="16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V1:V1048576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{61F43C39-A77D-D643-A58A-170A1B857A92}</x14:id>
        </ext>
      </extLst>
    </cfRule>
  </conditionalFormatting>
  <conditionalFormatting sqref="AE1:AE1048576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{04634AF6-6C92-0B42-AD6A-1D047DD29BC7}</x14:id>
        </ext>
      </extLst>
    </cfRule>
  </conditionalFormatting>
  <conditionalFormatting sqref="AJ1:AJ1048576">
    <cfRule type="colorScale" priority="1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N1:AN1048576">
    <cfRule type="colorScale" priority="1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P1:AP1048576">
    <cfRule type="containsText" dxfId="4" priority="7" operator="containsText" text="Benchmark">
      <formula>NOT(ISERROR(SEARCH("Benchmark",AP1)))</formula>
    </cfRule>
    <cfRule type="containsText" dxfId="3" priority="8" operator="containsText" text="No signal">
      <formula>NOT(ISERROR(SEARCH("No signal",AP1)))</formula>
    </cfRule>
    <cfRule type="containsText" dxfId="2" priority="9" operator="containsText" text="Weak signal">
      <formula>NOT(ISERROR(SEARCH("Weak signal",AP1)))</formula>
    </cfRule>
    <cfRule type="containsText" dxfId="1" priority="10" operator="containsText" text="Moderate signal">
      <formula>NOT(ISERROR(SEARCH("Moderate signal",AP1)))</formula>
    </cfRule>
    <cfRule type="containsText" dxfId="0" priority="11" operator="containsText" text="Strong signal">
      <formula>NOT(ISERROR(SEARCH("Strong signal",AP1)))</formula>
    </cfRule>
  </conditionalFormatting>
  <conditionalFormatting sqref="AU1:AU1048576">
    <cfRule type="dataBar" priority="6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{D6A7270C-DF30-2943-B044-417D3D34D235}</x14:id>
        </ext>
      </extLst>
    </cfRule>
  </conditionalFormatting>
  <conditionalFormatting sqref="AW1:AW1048576">
    <cfRule type="dataBar" priority="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{111B8CFB-C101-2B4C-B64F-F2C5061E5FE5}</x14:id>
        </ext>
      </extLst>
    </cfRule>
  </conditionalFormatting>
  <conditionalFormatting sqref="AX1:AX1048576">
    <cfRule type="colorScale" priority="4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AC13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{9D5C205C-F66E-5A4E-A57A-7ECA6A57147E}</x14:id>
        </ext>
      </extLst>
    </cfRule>
  </conditionalFormatting>
  <conditionalFormatting sqref="AD13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Y1:Y104857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{F4D098C6-4F2A-CE41-9316-0EB0542917A8}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51C1EC2-0A91-5C4E-B6C5-E509E72103B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E1:E1048576</xm:sqref>
        </x14:conditionalFormatting>
        <x14:conditionalFormatting xmlns:xm="http://schemas.microsoft.com/office/excel/2006/main">
          <x14:cfRule type="dataBar" id="{AC47DB24-42FF-254E-865F-2817CEA5A37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D1:D1048576</xm:sqref>
        </x14:conditionalFormatting>
        <x14:conditionalFormatting xmlns:xm="http://schemas.microsoft.com/office/excel/2006/main">
          <x14:cfRule type="dataBar" id="{646185A7-141F-AB4F-ABDC-6659DB9962E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O1:O1048576</xm:sqref>
        </x14:conditionalFormatting>
        <x14:conditionalFormatting xmlns:xm="http://schemas.microsoft.com/office/excel/2006/main">
          <x14:cfRule type="dataBar" id="{61F43C39-A77D-D643-A58A-170A1B857A9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V1:V1048576</xm:sqref>
        </x14:conditionalFormatting>
        <x14:conditionalFormatting xmlns:xm="http://schemas.microsoft.com/office/excel/2006/main">
          <x14:cfRule type="dataBar" id="{04634AF6-6C92-0B42-AD6A-1D047DD29BC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AE1:AE1048576</xm:sqref>
        </x14:conditionalFormatting>
        <x14:conditionalFormatting xmlns:xm="http://schemas.microsoft.com/office/excel/2006/main">
          <x14:cfRule type="dataBar" id="{D6A7270C-DF30-2943-B044-417D3D34D235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AU1:AU1048576</xm:sqref>
        </x14:conditionalFormatting>
        <x14:conditionalFormatting xmlns:xm="http://schemas.microsoft.com/office/excel/2006/main">
          <x14:cfRule type="dataBar" id="{111B8CFB-C101-2B4C-B64F-F2C5061E5FE5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AW1:AW1048576</xm:sqref>
        </x14:conditionalFormatting>
        <x14:conditionalFormatting xmlns:xm="http://schemas.microsoft.com/office/excel/2006/main">
          <x14:cfRule type="dataBar" id="{9D5C205C-F66E-5A4E-A57A-7ECA6A57147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AC13</xm:sqref>
        </x14:conditionalFormatting>
        <x14:conditionalFormatting xmlns:xm="http://schemas.microsoft.com/office/excel/2006/main">
          <x14:cfRule type="dataBar" id="{F4D098C6-4F2A-CE41-9316-0EB0542917A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Y1:Y1048576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17</vt:i4>
      </vt:variant>
    </vt:vector>
  </HeadingPairs>
  <TitlesOfParts>
    <vt:vector size="23" baseType="lpstr">
      <vt:lpstr>KPI_Summary</vt:lpstr>
      <vt:lpstr>Rating_Analysis</vt:lpstr>
      <vt:lpstr>Location_Analysis</vt:lpstr>
      <vt:lpstr>Cuisine_Analysis</vt:lpstr>
      <vt:lpstr>Pricing_Value</vt:lpstr>
      <vt:lpstr>Service_Adoption</vt:lpstr>
      <vt:lpstr>Rating_Analysis!q1_credible_restaurants</vt:lpstr>
      <vt:lpstr>Pricing_Value!q10a_hidden_gems</vt:lpstr>
      <vt:lpstr>Pricing_Value!q10b_gem_rarity</vt:lpstr>
      <vt:lpstr>Service_Adoption!q11a_online_vs_dinein</vt:lpstr>
      <vt:lpstr>Service_Adoption!q11b_tier_composition</vt:lpstr>
      <vt:lpstr>Service_Adoption!q12a_service_segments</vt:lpstr>
      <vt:lpstr>Service_Adoption!q12b_service_by_tier</vt:lpstr>
      <vt:lpstr>Rating_Analysis!q2_rating_tier_crosstab</vt:lpstr>
      <vt:lpstr>Rating_Analysis!q3_vote_buckets</vt:lpstr>
      <vt:lpstr>Location_Analysis!q4_location_leaderboard</vt:lpstr>
      <vt:lpstr>Location_Analysis!q5_value_locations</vt:lpstr>
      <vt:lpstr>Location_Analysis!q6_digital_adoption</vt:lpstr>
      <vt:lpstr>Cuisine_Analysis!q7a_dominant_cuisine_per_location</vt:lpstr>
      <vt:lpstr>Cuisine_Analysis!q7b_cuisine_dominance_summary</vt:lpstr>
      <vt:lpstr>Cuisine_Analysis!q8a_cuisine_popularity</vt:lpstr>
      <vt:lpstr>Cuisine_Analysis!q8b_cuisine_quality</vt:lpstr>
      <vt:lpstr>Pricing_Value!q9_price_tier_performance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pratham kumar</dc:creator>
  <cp:lastModifiedBy>pratham kumar</cp:lastModifiedBy>
  <dcterms:created xsi:type="dcterms:W3CDTF">2026-07-01T12:09:56Z</dcterms:created>
  <dcterms:modified xsi:type="dcterms:W3CDTF">2026-07-03T16:05:35Z</dcterms:modified>
</cp:coreProperties>
</file>