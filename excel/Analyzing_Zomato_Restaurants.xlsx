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queryTables/queryTable11.xml" ContentType="application/vnd.openxmlformats-officedocument.spreadsheetml.queryTable+xml"/>
  <Override PartName="/xl/queryTables/queryTable12.xml" ContentType="application/vnd.openxmlformats-officedocument.spreadsheetml.queryTable+xml"/>
  <Override PartName="/xl/queryTables/queryTable13.xml" ContentType="application/vnd.openxmlformats-officedocument.spreadsheetml.queryTable+xml"/>
  <Override PartName="/xl/drawings/drawing5.xml" ContentType="application/vnd.openxmlformats-officedocument.drawing+xml"/>
  <Override PartName="/xl/queryTables/queryTable14.xml" ContentType="application/vnd.openxmlformats-officedocument.spreadsheetml.queryTable+xml"/>
  <Override PartName="/xl/queryTables/queryTable15.xml" ContentType="application/vnd.openxmlformats-officedocument.spreadsheetml.queryTable+xml"/>
  <Override PartName="/xl/queryTables/queryTable16.xml" ContentType="application/vnd.openxmlformats-officedocument.spreadsheetml.queryTable+xml"/>
  <Override PartName="/xl/queryTables/queryTable17.xml" ContentType="application/vnd.openxmlformats-officedocument.spreadsheetml.query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athamkumar/Desktop/Analyzing_Zomato_Restaurants/"/>
    </mc:Choice>
  </mc:AlternateContent>
  <xr:revisionPtr revIDLastSave="0" documentId="8_{66720357-8024-B341-9DC9-F2AF8F9FF1D7}" xr6:coauthVersionLast="47" xr6:coauthVersionMax="47" xr10:uidLastSave="{00000000-0000-0000-0000-000000000000}"/>
  <bookViews>
    <workbookView xWindow="0" yWindow="580" windowWidth="25600" windowHeight="16060" activeTab="5" xr2:uid="{87D2B955-CD03-BA4D-B109-43157B144A24}"/>
  </bookViews>
  <sheets>
    <sheet name="KPI_summary" sheetId="1" r:id="rId1"/>
    <sheet name="Rating_analysis" sheetId="2" r:id="rId2"/>
    <sheet name="Location_analysis" sheetId="6" r:id="rId3"/>
    <sheet name="Cuisine_analysis" sheetId="4" r:id="rId4"/>
    <sheet name="Pricing_value" sheetId="5" r:id="rId5"/>
    <sheet name="Service_adoption" sheetId="7" r:id="rId6"/>
  </sheets>
  <definedNames>
    <definedName name="q1_credible_restaurants" localSheetId="1">Rating_analysis!$A$3:$K$13</definedName>
    <definedName name="q10a_hidden_gems" localSheetId="4">Pricing_value!$U$3:$AH$18</definedName>
    <definedName name="q10b_gem_rarity" localSheetId="4">Pricing_value!$AL$3:$AS$4</definedName>
    <definedName name="q11a_online_vs_dinein" localSheetId="5">Service_adoption!$A$5:$O$7</definedName>
    <definedName name="q11b_tier_composition" localSheetId="5">Service_adoption!$R$5:$X$11</definedName>
    <definedName name="q12a_service_segments" localSheetId="5">Service_adoption!$AB$5:$AP$10</definedName>
    <definedName name="q12b_service_by_tier" localSheetId="5">Service_adoption!$AS$5:$AY$8</definedName>
    <definedName name="q2_rating_tier_crosstab" localSheetId="1">Rating_analysis!$N$3:$AE$6</definedName>
    <definedName name="q3_vote_buckets" localSheetId="1">Rating_analysis!$AH$3:$AP$9</definedName>
    <definedName name="q4_location_leaderboard" localSheetId="2">Location_analysis!$A$3:$H$18</definedName>
    <definedName name="q5_value_locations" localSheetId="2">Location_analysis!$K$3:$S$18</definedName>
    <definedName name="q6_digital_adoption" localSheetId="2">Location_analysis!$V$3:$AE$18</definedName>
    <definedName name="q7a_dominant_cuisine_per_location" localSheetId="3">Cuisine_analysis!$A$5:$F$25</definedName>
    <definedName name="q7b_cuisine_dominance_summary" localSheetId="3">Cuisine_analysis!$I$5:$M$15</definedName>
    <definedName name="q8a_cuisine_popularity" localSheetId="3">Cuisine_analysis!$P$5:$AC$20</definedName>
    <definedName name="q8b_cuisine_quality" localSheetId="3">Cuisine_analysis!$AI$5:$AT$20</definedName>
    <definedName name="q9_price_tier_performance" localSheetId="4">Pricing_value!$A$3:$Q$6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C10" i="7" l="1"/>
  <c r="BC9" i="7"/>
  <c r="BC8" i="7"/>
  <c r="BC7" i="7"/>
  <c r="BC6" i="7"/>
  <c r="BB10" i="7"/>
  <c r="BB9" i="7"/>
  <c r="BB8" i="7"/>
  <c r="BB7" i="7"/>
  <c r="BB6" i="7"/>
  <c r="BA10" i="7"/>
  <c r="BA9" i="7"/>
  <c r="BA8" i="7"/>
  <c r="BA7" i="7"/>
  <c r="BA6" i="7"/>
  <c r="Y8" i="7"/>
  <c r="Y7" i="7"/>
  <c r="Y6" i="7"/>
  <c r="AN13" i="5"/>
  <c r="AQ9" i="5"/>
  <c r="AQ10" i="5" s="1"/>
  <c r="AM14" i="5"/>
  <c r="AM13" i="5"/>
  <c r="AM12" i="5"/>
  <c r="AN12" i="5" s="1"/>
  <c r="AM11" i="5"/>
  <c r="AM10" i="5"/>
  <c r="AN10" i="5" s="1"/>
  <c r="AM9" i="5"/>
  <c r="AN11" i="5" s="1"/>
  <c r="AU20" i="4"/>
  <c r="AV20" i="4" s="1"/>
  <c r="AU19" i="4"/>
  <c r="AV19" i="4" s="1"/>
  <c r="AU18" i="4"/>
  <c r="AV18" i="4" s="1"/>
  <c r="AU17" i="4"/>
  <c r="AV17" i="4" s="1"/>
  <c r="AU16" i="4"/>
  <c r="AV16" i="4" s="1"/>
  <c r="AU15" i="4"/>
  <c r="AV15" i="4" s="1"/>
  <c r="AU14" i="4"/>
  <c r="AV14" i="4" s="1"/>
  <c r="AU13" i="4"/>
  <c r="AV13" i="4" s="1"/>
  <c r="AU12" i="4"/>
  <c r="AV12" i="4" s="1"/>
  <c r="AU11" i="4"/>
  <c r="AV11" i="4" s="1"/>
  <c r="AU10" i="4"/>
  <c r="AV10" i="4" s="1"/>
  <c r="AU9" i="4"/>
  <c r="AV9" i="4" s="1"/>
  <c r="AU8" i="4"/>
  <c r="AV8" i="4" s="1"/>
  <c r="AU7" i="4"/>
  <c r="AV7" i="4" s="1"/>
  <c r="AU6" i="4"/>
  <c r="AV6" i="4" s="1"/>
  <c r="AF20" i="4"/>
  <c r="AD20" i="4"/>
  <c r="AE20" i="4" s="1"/>
  <c r="AF19" i="4"/>
  <c r="AD19" i="4"/>
  <c r="AF18" i="4"/>
  <c r="AD18" i="4"/>
  <c r="AE18" i="4" s="1"/>
  <c r="AF17" i="4"/>
  <c r="AD17" i="4"/>
  <c r="AE17" i="4" s="1"/>
  <c r="AF16" i="4"/>
  <c r="AD16" i="4"/>
  <c r="AE16" i="4" s="1"/>
  <c r="AF15" i="4"/>
  <c r="AD15" i="4"/>
  <c r="AE15" i="4" s="1"/>
  <c r="AF14" i="4"/>
  <c r="AD14" i="4"/>
  <c r="AE14" i="4" s="1"/>
  <c r="AF13" i="4"/>
  <c r="AD13" i="4"/>
  <c r="AE13" i="4" s="1"/>
  <c r="AF12" i="4"/>
  <c r="AD12" i="4"/>
  <c r="AE12" i="4" s="1"/>
  <c r="AF11" i="4"/>
  <c r="AD11" i="4"/>
  <c r="AE11" i="4" s="1"/>
  <c r="AF10" i="4"/>
  <c r="AD10" i="4"/>
  <c r="AE10" i="4" s="1"/>
  <c r="AF9" i="4"/>
  <c r="AD9" i="4"/>
  <c r="AE9" i="4" s="1"/>
  <c r="AF8" i="4"/>
  <c r="AD8" i="4"/>
  <c r="AE8" i="4" s="1"/>
  <c r="AF7" i="4"/>
  <c r="AD7" i="4"/>
  <c r="AE7" i="4" s="1"/>
  <c r="AF6" i="4"/>
  <c r="AD6" i="4"/>
  <c r="I23" i="6" a="1"/>
  <c r="I23" i="6" s="1"/>
  <c r="H23" i="6" a="1"/>
  <c r="H23" i="6" s="1"/>
  <c r="A23" i="6" a="1"/>
  <c r="AS5" i="2"/>
  <c r="AS6" i="2"/>
  <c r="AS4" i="2"/>
  <c r="AR6" i="2"/>
  <c r="AR5" i="2"/>
  <c r="AR4" i="2"/>
  <c r="AE6" i="2"/>
  <c r="AE5" i="2"/>
  <c r="AE4" i="2"/>
  <c r="AD6" i="2"/>
  <c r="AD5" i="2"/>
  <c r="AD4" i="2"/>
  <c r="AC6" i="2"/>
  <c r="AC5" i="2"/>
  <c r="AB6" i="2"/>
  <c r="AB5" i="2"/>
  <c r="AN14" i="5" l="1"/>
  <c r="AQ11" i="5"/>
  <c r="AX12" i="4" a="1"/>
  <c r="AX12" i="4" s="1"/>
  <c r="AY6" i="4"/>
  <c r="AY13" i="4" a="1"/>
  <c r="AY13" i="4" s="1"/>
  <c r="AX6" i="4"/>
  <c r="AX10" i="4" a="1"/>
  <c r="AX10" i="4" s="1"/>
  <c r="AX11" i="4" a="1"/>
  <c r="AX11" i="4" s="1"/>
  <c r="AY11" i="4" a="1"/>
  <c r="AY11" i="4" s="1"/>
  <c r="AE19" i="4"/>
  <c r="AY10" i="4" a="1"/>
  <c r="AY10" i="4" s="1"/>
  <c r="AX7" i="4"/>
  <c r="AE6" i="4"/>
  <c r="AY7" i="4"/>
  <c r="AX8" i="4"/>
  <c r="AY8" i="4"/>
  <c r="AX9" i="4"/>
  <c r="AX13" i="4" a="1"/>
  <c r="AX13" i="4" s="1"/>
  <c r="AY9" i="4"/>
  <c r="A23" i="6"/>
  <c r="C49" i="6"/>
  <c r="C47" i="6"/>
  <c r="D44" i="6"/>
  <c r="D42" i="6"/>
  <c r="B40" i="6"/>
  <c r="C37" i="6"/>
  <c r="E37" i="6" s="1"/>
  <c r="F37" i="6" s="1"/>
  <c r="B35" i="6"/>
  <c r="E35" i="6" s="1"/>
  <c r="F35" i="6" s="1"/>
  <c r="C32" i="6"/>
  <c r="D29" i="6"/>
  <c r="C27" i="6"/>
  <c r="D24" i="6"/>
  <c r="B49" i="6"/>
  <c r="B47" i="6"/>
  <c r="C44" i="6"/>
  <c r="C42" i="6"/>
  <c r="E42" i="6" s="1"/>
  <c r="F42" i="6" s="1"/>
  <c r="D39" i="6"/>
  <c r="B37" i="6"/>
  <c r="D34" i="6"/>
  <c r="B32" i="6"/>
  <c r="C29" i="6"/>
  <c r="B27" i="6"/>
  <c r="C24" i="6"/>
  <c r="E48" i="6"/>
  <c r="F48" i="6" s="1"/>
  <c r="D46" i="6"/>
  <c r="B44" i="6"/>
  <c r="B42" i="6"/>
  <c r="C39" i="6"/>
  <c r="D36" i="6"/>
  <c r="C34" i="6"/>
  <c r="D31" i="6"/>
  <c r="B29" i="6"/>
  <c r="D26" i="6"/>
  <c r="B24" i="6"/>
  <c r="D48" i="6"/>
  <c r="C46" i="6"/>
  <c r="D41" i="6"/>
  <c r="B39" i="6"/>
  <c r="E39" i="6" s="1"/>
  <c r="F39" i="6" s="1"/>
  <c r="C36" i="6"/>
  <c r="B34" i="6"/>
  <c r="C31" i="6"/>
  <c r="D28" i="6"/>
  <c r="C26" i="6"/>
  <c r="C48" i="6"/>
  <c r="B46" i="6"/>
  <c r="E46" i="6" s="1"/>
  <c r="F46" i="6" s="1"/>
  <c r="D43" i="6"/>
  <c r="C41" i="6"/>
  <c r="D38" i="6"/>
  <c r="B36" i="6"/>
  <c r="D33" i="6"/>
  <c r="B31" i="6"/>
  <c r="C28" i="6"/>
  <c r="B26" i="6"/>
  <c r="E26" i="6" s="1"/>
  <c r="F26" i="6" s="1"/>
  <c r="B48" i="6"/>
  <c r="D45" i="6"/>
  <c r="C43" i="6"/>
  <c r="B41" i="6"/>
  <c r="C38" i="6"/>
  <c r="C33" i="6"/>
  <c r="D30" i="6"/>
  <c r="B28" i="6"/>
  <c r="E28" i="6" s="1"/>
  <c r="F28" i="6" s="1"/>
  <c r="D25" i="6"/>
  <c r="C45" i="6"/>
  <c r="E45" i="6" s="1"/>
  <c r="F45" i="6" s="1"/>
  <c r="B43" i="6"/>
  <c r="D40" i="6"/>
  <c r="B38" i="6"/>
  <c r="D35" i="6"/>
  <c r="B33" i="6"/>
  <c r="E33" i="6" s="1"/>
  <c r="F33" i="6" s="1"/>
  <c r="C30" i="6"/>
  <c r="C25" i="6"/>
  <c r="D49" i="6"/>
  <c r="D47" i="6"/>
  <c r="B45" i="6"/>
  <c r="C40" i="6"/>
  <c r="D37" i="6"/>
  <c r="C35" i="6"/>
  <c r="B25" i="6"/>
  <c r="D27" i="6"/>
  <c r="B30" i="6"/>
  <c r="D32" i="6"/>
  <c r="E32" i="6" s="1"/>
  <c r="F32" i="6" s="1"/>
  <c r="E49" i="6" l="1"/>
  <c r="F49" i="6" s="1"/>
  <c r="E43" i="6"/>
  <c r="F43" i="6" s="1"/>
  <c r="E38" i="6"/>
  <c r="F38" i="6" s="1"/>
  <c r="E27" i="6"/>
  <c r="F27" i="6" s="1"/>
  <c r="E47" i="6"/>
  <c r="F47" i="6" s="1"/>
  <c r="E30" i="6"/>
  <c r="F30" i="6" s="1"/>
  <c r="E29" i="6"/>
  <c r="F29" i="6" s="1"/>
  <c r="E31" i="6"/>
  <c r="F31" i="6" s="1"/>
  <c r="E24" i="6"/>
  <c r="F24" i="6" s="1"/>
  <c r="E44" i="6"/>
  <c r="F44" i="6" s="1"/>
  <c r="E40" i="6"/>
  <c r="F40" i="6" s="1"/>
  <c r="E25" i="6"/>
  <c r="F25" i="6" s="1"/>
  <c r="E41" i="6"/>
  <c r="F41" i="6" s="1"/>
  <c r="E36" i="6"/>
  <c r="F36" i="6" s="1"/>
  <c r="E34" i="6"/>
  <c r="F34" i="6" s="1"/>
  <c r="D23" i="6"/>
  <c r="C23" i="6"/>
  <c r="B23" i="6"/>
  <c r="E23" i="6" l="1"/>
  <c r="F23" i="6" s="1"/>
  <c r="AY12" i="4" a="1"/>
  <c r="AY12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E8123F2-3BF7-2C42-A28A-4120BDDE699B}" name="q1_credible_restaurants" type="6" refreshedVersion="8" background="1" saveData="1">
    <textPr codePage="10000" sourceFile="/Users/prathamkumar/Desktop/Analyzing_Zomato_Restaurants/q1_credible_restaurants.csv" tab="0" comma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ADD60724-4E00-C246-9C62-C68E4D25594B}" name="q10a_hidden_gems" type="6" refreshedVersion="8" background="1" saveData="1">
    <textPr codePage="10000" sourceFile="/Users/prathamkumar/Desktop/Analyzing_Zomato_Restaurants/q10a_hidden_gems.csv" tab="0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29BD2A67-BA9F-6943-B052-A456B1FCB5C7}" name="q10b_gem_rarity" type="6" refreshedVersion="8" background="1" saveData="1">
    <textPr codePage="10000" sourceFile="/Users/prathamkumar/Desktop/Analyzing_Zomato_Restaurants/q10b_gem_rarity.csv" tab="0" comma="1">
      <textFields count="8">
        <textField/>
        <textField/>
        <textField/>
        <textField/>
        <textField/>
        <textField/>
        <textField/>
        <textField/>
      </textFields>
    </textPr>
  </connection>
  <connection id="4" xr16:uid="{13EE1375-CAFD-0940-94B4-1B50CCA13080}" name="q11a_online_vs_dinein" type="6" refreshedVersion="8" background="1" saveData="1">
    <textPr codePage="10000" sourceFile="/Users/prathamkumar/Desktop/Analyzing_Zomato_Restaurants/q11a_online_vs_dinein.csv" tab="0" comma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xr16:uid="{79F52A84-24D6-5C46-9268-9078D47F37AE}" name="q11b_tier_composition" type="6" refreshedVersion="8" background="1" saveData="1">
    <textPr codePage="10000" sourceFile="/Users/prathamkumar/Desktop/Analyzing_Zomato_Restaurants/q11b_tier_composition.csv" tab="0" comma="1">
      <textFields count="7">
        <textField/>
        <textField/>
        <textField/>
        <textField/>
        <textField/>
        <textField/>
        <textField/>
      </textFields>
    </textPr>
  </connection>
  <connection id="6" xr16:uid="{FB9D2043-B1E6-E04C-82A6-A9DFCEF3DBCC}" name="q12a_service_segments" type="6" refreshedVersion="8" background="1" saveData="1">
    <textPr codePage="10000" sourceFile="/Users/prathamkumar/Desktop/Analyzing_Zomato_Restaurants/q12a_service_segments.csv" tab="0" comma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7" xr16:uid="{7031E925-BF86-1643-89C9-42CFD94EA5CC}" name="q12b_service_by_tier" type="6" refreshedVersion="8" background="1" saveData="1">
    <textPr codePage="10000" sourceFile="/Users/prathamkumar/Desktop/Analyzing_Zomato_Restaurants/q12b_service_by_tier.csv" tab="0" comma="1">
      <textFields count="7">
        <textField/>
        <textField/>
        <textField/>
        <textField/>
        <textField/>
        <textField/>
        <textField/>
      </textFields>
    </textPr>
  </connection>
  <connection id="8" xr16:uid="{FB91A256-03B9-3046-BB8A-C8AC2B44EF98}" name="q2_rating_tier_crosstab" type="6" refreshedVersion="8" background="1" saveData="1">
    <textPr codePage="10000" sourceFile="/Users/prathamkumar/Desktop/Analyzing_Zomato_Restaurants/q2_rating_tier_crosstab.csv" tab="0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9" xr16:uid="{D2483ADD-6F72-6F40-A50B-0BC61B22DAED}" name="q3_vote_buckets" type="6" refreshedVersion="8" background="1" saveData="1">
    <textPr codePage="10000" sourceFile="/Users/prathamkumar/Desktop/Analyzing_Zomato_Restaurants/q3_vote_buckets.csv" tab="0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10" xr16:uid="{57A11CD3-3060-F24B-8422-DFDC27569201}" name="q4_location_leaderboard" type="6" refreshedVersion="8" background="1" saveData="1">
    <textPr codePage="10000" sourceFile="/Users/prathamkumar/Desktop/Analyzing_Zomato_Restaurants/q4_location_leaderboard.csv" tab="0" comma="1">
      <textFields count="8">
        <textField/>
        <textField/>
        <textField/>
        <textField/>
        <textField/>
        <textField/>
        <textField/>
        <textField/>
      </textFields>
    </textPr>
  </connection>
  <connection id="11" xr16:uid="{EC80D70C-D133-4946-9F6C-2631E4198CFD}" name="q5_value_locations" type="6" refreshedVersion="8" background="1" saveData="1">
    <textPr codePage="10000" sourceFile="/Users/prathamkumar/Desktop/Analyzing_Zomato_Restaurants/q5_value_locations.csv" tab="0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12" xr16:uid="{AD153C12-5DB2-134C-9118-AA4E39A9E091}" name="q6_digital_adoption" type="6" refreshedVersion="8" background="1" saveData="1">
    <textPr codePage="10000" sourceFile="/Users/prathamkumar/Desktop/Analyzing_Zomato_Restaurants/q6_digital_adoption.csv" tab="0" comma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3" xr16:uid="{54C04843-CC7B-744C-834B-F80FB9CC8CC0}" name="q7a_dominant_cuisine_per_location" type="6" refreshedVersion="8" background="1" saveData="1">
    <textPr codePage="10000" sourceFile="/Users/prathamkumar/Desktop/Analyzing_Zomato_Restaurants/q7a_dominant_cuisine_per_location.csv" tab="0" comma="1">
      <textFields count="6">
        <textField/>
        <textField/>
        <textField/>
        <textField/>
        <textField/>
        <textField/>
      </textFields>
    </textPr>
  </connection>
  <connection id="14" xr16:uid="{0A5213C2-4FAE-4C46-8E51-BA8907D6CDD7}" name="q7b_cuisine_dominance_summary" type="6" refreshedVersion="8" background="1" saveData="1">
    <textPr codePage="10000" sourceFile="/Users/prathamkumar/Desktop/Analyzing_Zomato_Restaurants/q7b_cuisine_dominance_summary.csv" tab="0" comma="1">
      <textFields count="5">
        <textField/>
        <textField/>
        <textField/>
        <textField/>
        <textField/>
      </textFields>
    </textPr>
  </connection>
  <connection id="15" xr16:uid="{18D28CFF-5B36-9E40-A57E-DCB959A2CA6B}" name="q8a_cuisine_popularity" type="6" refreshedVersion="8" background="1" saveData="1">
    <textPr codePage="10000" sourceFile="/Users/prathamkumar/Desktop/Analyzing_Zomato_Restaurants/q8a_cuisine_popularity.csv" tab="0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6" xr16:uid="{7F2E8992-B4FC-EE4F-B3F1-89FF053F5339}" name="q8b_cuisine_quality" type="6" refreshedVersion="8" background="1" saveData="1">
    <textPr codePage="10000" sourceFile="/Users/prathamkumar/Desktop/Analyzing_Zomato_Restaurants/q8b_cuisine_quality.csv" tab="0" comma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7" xr16:uid="{8780392E-AF7A-3843-AC63-92B060F0113E}" name="q9_price_tier_performance" type="6" refreshedVersion="8" background="1" saveData="1">
    <textPr codePage="10000" sourceFile="/Users/prathamkumar/Desktop/Analyzing_Zomato_Restaurants/q9_price_tier_performance.csv" tab="0" comma="1">
      <textFields count="1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<sst xmlns="http://schemas.openxmlformats.org/spreadsheetml/2006/main" count="620" uniqueCount="276">
  <si>
    <t>Byg Brewski Brewing Company</t>
  </si>
  <si>
    <t>Sarjapur Road</t>
  </si>
  <si>
    <t>Continental</t>
  </si>
  <si>
    <t>Microbrewery</t>
  </si>
  <si>
    <t>Premium</t>
  </si>
  <si>
    <t>Toit</t>
  </si>
  <si>
    <t>Indiranagar</t>
  </si>
  <si>
    <t>Italian</t>
  </si>
  <si>
    <t>AB's - Absolute Barbecues</t>
  </si>
  <si>
    <t>Marathahalli</t>
  </si>
  <si>
    <t>European</t>
  </si>
  <si>
    <t>Casual Dining</t>
  </si>
  <si>
    <t>Truffles</t>
  </si>
  <si>
    <t>Koramangala 5th Block</t>
  </si>
  <si>
    <t>Cafe</t>
  </si>
  <si>
    <t>Cafe, Casual Dining</t>
  </si>
  <si>
    <t>The Black Pearl</t>
  </si>
  <si>
    <t>North Indian</t>
  </si>
  <si>
    <t>Casual Dining, Bar</t>
  </si>
  <si>
    <t>BTM</t>
  </si>
  <si>
    <t>Chili's American Grill &amp; Bar</t>
  </si>
  <si>
    <t>Malleshwaram</t>
  </si>
  <si>
    <t>American</t>
  </si>
  <si>
    <t>Big Pitcher</t>
  </si>
  <si>
    <t>Old Airport Road</t>
  </si>
  <si>
    <t>Pub, Microbrewery</t>
  </si>
  <si>
    <t>Barbeque Nation</t>
  </si>
  <si>
    <t>Budget</t>
  </si>
  <si>
    <t>Mid-range</t>
  </si>
  <si>
    <t>Q1. Top 10 most credible restaurants — rate ≥ 4.0 AND votes ≥ 500 (filters out lucky low-vote outliers).</t>
  </si>
  <si>
    <t>Q2. Rating tier breakdown across price categories — cross-tab showing % share per tier.</t>
  </si>
  <si>
    <t>Q3. Does vote volume predict higher ratings? — bucket restaurants by vote ranges, compare avg rating.</t>
  </si>
  <si>
    <t>Name</t>
  </si>
  <si>
    <t>Location</t>
  </si>
  <si>
    <t>Primary Cuisine</t>
  </si>
  <si>
    <t>Rest Type</t>
  </si>
  <si>
    <t>Rate</t>
  </si>
  <si>
    <t>Votes</t>
  </si>
  <si>
    <t>Cost For Two</t>
  </si>
  <si>
    <t>Price Category</t>
  </si>
  <si>
    <t>Online Order</t>
  </si>
  <si>
    <t>Book Table</t>
  </si>
  <si>
    <t>Credibility Score</t>
  </si>
  <si>
    <t>Total Restaurants</t>
  </si>
  <si>
    <t>Avg Rate</t>
  </si>
  <si>
    <t>Excellent Count</t>
  </si>
  <si>
    <t>Excellent Pct</t>
  </si>
  <si>
    <t>Good Count</t>
  </si>
  <si>
    <t>Good Pct</t>
  </si>
  <si>
    <t>Average Count</t>
  </si>
  <si>
    <t>Average Pct</t>
  </si>
  <si>
    <t>Poor Count</t>
  </si>
  <si>
    <t>Poor Pct</t>
  </si>
  <si>
    <t>Unrated Count</t>
  </si>
  <si>
    <t>Unrated Pct</t>
  </si>
  <si>
    <t>Quality Score Pct</t>
  </si>
  <si>
    <t>Vote Bucket</t>
  </si>
  <si>
    <t>Avg Votes</t>
  </si>
  <si>
    <t>Avg Rating</t>
  </si>
  <si>
    <t>Min Rating</t>
  </si>
  <si>
    <t>Max Rating</t>
  </si>
  <si>
    <t>Minimal   (0 - 10)</t>
  </si>
  <si>
    <t>Low       (11 - 100)</t>
  </si>
  <si>
    <t>Moderate  (101 - 500)</t>
  </si>
  <si>
    <t>Good      (501 - 1,000)</t>
  </si>
  <si>
    <t>High      (1,001 - 5,000)</t>
  </si>
  <si>
    <t>Very High  (5,001+)</t>
  </si>
  <si>
    <t>Whitefield</t>
  </si>
  <si>
    <t>Electronic City</t>
  </si>
  <si>
    <t>HSR</t>
  </si>
  <si>
    <t>JP Nagar</t>
  </si>
  <si>
    <t>Bannerghatta Road</t>
  </si>
  <si>
    <t>Jayanagar</t>
  </si>
  <si>
    <t>Bellandur</t>
  </si>
  <si>
    <t>New BEL Road</t>
  </si>
  <si>
    <t>Banashankari</t>
  </si>
  <si>
    <t>Kalyan Nagar</t>
  </si>
  <si>
    <t>Basavanagudi</t>
  </si>
  <si>
    <t>Basaveshwara Nagar</t>
  </si>
  <si>
    <t>Koramangala 1st Block</t>
  </si>
  <si>
    <t>Rajajinagar</t>
  </si>
  <si>
    <t>Frazer Town</t>
  </si>
  <si>
    <t>Brookefield</t>
  </si>
  <si>
    <t>Kammanahalli</t>
  </si>
  <si>
    <t>Nagawara</t>
  </si>
  <si>
    <t>Heavy Delivery</t>
  </si>
  <si>
    <t>Balanced</t>
  </si>
  <si>
    <t>Koramangala 7th Block</t>
  </si>
  <si>
    <t>Ulsoor</t>
  </si>
  <si>
    <t>Koramangala 6th Block</t>
  </si>
  <si>
    <t>Dine-in Leaning</t>
  </si>
  <si>
    <t>Q4. Location leaderboard — restaurant count, avg rating, avg cost for top 15 areas.</t>
  </si>
  <si>
    <t>Q5. Best value locations — highest avg rating combined with lowest avg cost (≥ 100 restaurants).</t>
  </si>
  <si>
    <t>Q6. Most digitally active locations — online ordering adoption % ranked across all areas.</t>
  </si>
  <si>
    <t>Market Share Pct</t>
  </si>
  <si>
    <t>Avg Cost</t>
  </si>
  <si>
    <t>Online Order Pct</t>
  </si>
  <si>
    <t>Value Rank</t>
  </si>
  <si>
    <t>Value Score</t>
  </si>
  <si>
    <t>Digital Rank</t>
  </si>
  <si>
    <t>Book Table Pct</t>
  </si>
  <si>
    <t>Vs Platform Avg</t>
  </si>
  <si>
    <t>Digital Score</t>
  </si>
  <si>
    <t>Market Type</t>
  </si>
  <si>
    <t>South Indian</t>
  </si>
  <si>
    <t>Banaswadi</t>
  </si>
  <si>
    <t>Fast Food</t>
  </si>
  <si>
    <t>Chinese</t>
  </si>
  <si>
    <t>Andhra</t>
  </si>
  <si>
    <t>Biryani</t>
  </si>
  <si>
    <t>Desserts</t>
  </si>
  <si>
    <t>At Par</t>
  </si>
  <si>
    <t>Above Average</t>
  </si>
  <si>
    <t>Bakery</t>
  </si>
  <si>
    <t>Beverages</t>
  </si>
  <si>
    <t>Ice Cream</t>
  </si>
  <si>
    <t>Street Food</t>
  </si>
  <si>
    <t>Mithai</t>
  </si>
  <si>
    <t>Pizza</t>
  </si>
  <si>
    <t>Asian</t>
  </si>
  <si>
    <t>Star Performer</t>
  </si>
  <si>
    <t>Mexican</t>
  </si>
  <si>
    <t>Finger Food</t>
  </si>
  <si>
    <t>Seafood</t>
  </si>
  <si>
    <t>Healthy Food</t>
  </si>
  <si>
    <t>Burger</t>
  </si>
  <si>
    <t>Arabian</t>
  </si>
  <si>
    <t>Q7. Dominant cuisine per location — window function ROW_NUMBER() OVER (PARTITION BY location) across all 93 areas.</t>
  </si>
  <si>
    <t>Q8. Cuisine performance table — avg rating, avg cost, restaurant count for top 15 cuisines.</t>
  </si>
  <si>
    <t>(A)</t>
  </si>
  <si>
    <t>(B)</t>
  </si>
  <si>
    <t>Dominant Cuisine</t>
  </si>
  <si>
    <t>Dominant Cuisine Count</t>
  </si>
  <si>
    <t>Cuisine Share Pct</t>
  </si>
  <si>
    <t>Cuisine Avg Rating</t>
  </si>
  <si>
    <t>Locations Dominated</t>
  </si>
  <si>
    <t>Pct Of All Locations</t>
  </si>
  <si>
    <t>Total Restaurants As Dominant</t>
  </si>
  <si>
    <t>Avg Count Per Location</t>
  </si>
  <si>
    <t>Popularity Rank</t>
  </si>
  <si>
    <t>Quality Rank</t>
  </si>
  <si>
    <t>Total Count</t>
  </si>
  <si>
    <t>Rated Count</t>
  </si>
  <si>
    <t>Performance Index</t>
  </si>
  <si>
    <t>Performance Tier</t>
  </si>
  <si>
    <t>NULL</t>
  </si>
  <si>
    <t>Baseline tier</t>
  </si>
  <si>
    <t>Vidyarthi Bhavan</t>
  </si>
  <si>
    <t>Quick Bites</t>
  </si>
  <si>
    <t>Excellent</t>
  </si>
  <si>
    <t>CTR</t>
  </si>
  <si>
    <t>Exceptional</t>
  </si>
  <si>
    <t>Kota Kachori</t>
  </si>
  <si>
    <t>Mavalli Tiffin Room (MTR)</t>
  </si>
  <si>
    <t>Brahmin's Coffee Bar</t>
  </si>
  <si>
    <t>Veena Stores</t>
  </si>
  <si>
    <t>Corner House Ice Cream</t>
  </si>
  <si>
    <t>Dessert Parlor</t>
  </si>
  <si>
    <t>Milano Ice Cream</t>
  </si>
  <si>
    <t>Art of Delight</t>
  </si>
  <si>
    <t>Residency Road</t>
  </si>
  <si>
    <t>Berry'd Alive</t>
  </si>
  <si>
    <t>Hari Super Sandwich</t>
  </si>
  <si>
    <t>BelgYum</t>
  </si>
  <si>
    <t>Maiyas</t>
  </si>
  <si>
    <t>Very Good</t>
  </si>
  <si>
    <t>Belgian Waffle Factory</t>
  </si>
  <si>
    <t>Brigade Road</t>
  </si>
  <si>
    <t>Online Ordering</t>
  </si>
  <si>
    <t>Dine-in Only</t>
  </si>
  <si>
    <t>Strong signal</t>
  </si>
  <si>
    <t>Weak signal</t>
  </si>
  <si>
    <t>No signal</t>
  </si>
  <si>
    <t>Benchmark</t>
  </si>
  <si>
    <t>Q9. Price tier performance — avg rating, avg votes, total count per tier (is premium pricing justified?).</t>
  </si>
  <si>
    <t>Q10. Hidden gems — budget restaurants (≤ ₹400) rated ≥ 4.0, ranked by votes (best value finds).</t>
  </si>
  <si>
    <t>Rating Jump Vs Prev</t>
  </si>
  <si>
    <t>Cost Jump Vs Prev</t>
  </si>
  <si>
    <t>Votes Jump Vs Prev</t>
  </si>
  <si>
    <t>Price Jump Verdict</t>
  </si>
  <si>
    <t>Gem Rank</t>
  </si>
  <si>
    <t>Proof Bucket</t>
  </si>
  <si>
    <t>Value Index</t>
  </si>
  <si>
    <t>Beats Pct Of Platform</t>
  </si>
  <si>
    <t>Gem Tier</t>
  </si>
  <si>
    <t>Total Budget Restaurants</t>
  </si>
  <si>
    <t>Rated Budget</t>
  </si>
  <si>
    <t>Rated 4 Plus</t>
  </si>
  <si>
    <t>Pct Of Rated Budget</t>
  </si>
  <si>
    <t>Proven Gems</t>
  </si>
  <si>
    <t>Pct Of All Budget</t>
  </si>
  <si>
    <t>Gems Avg Cost</t>
  </si>
  <si>
    <t>Gems Avg Rating</t>
  </si>
  <si>
    <t>Service Type</t>
  </si>
  <si>
    <t>Pct Of Platform</t>
  </si>
  <si>
    <t>Median Rating</t>
  </si>
  <si>
    <t>Median Cost</t>
  </si>
  <si>
    <t>Also Book Table Pct</t>
  </si>
  <si>
    <t>Restaurant Count</t>
  </si>
  <si>
    <t>Pct Within Service</t>
  </si>
  <si>
    <t>Service Segment</t>
  </si>
  <si>
    <t>Premium Pct</t>
  </si>
  <si>
    <t>Digital Verdict</t>
  </si>
  <si>
    <t>Total In Tier</t>
  </si>
  <si>
    <t>Both Services Pct</t>
  </si>
  <si>
    <t>Online Only Pct</t>
  </si>
  <si>
    <t>Table Only Pct</t>
  </si>
  <si>
    <t>Neither Pct</t>
  </si>
  <si>
    <t>Tier Avg Rating</t>
  </si>
  <si>
    <t>Not justified-minimal quality gain</t>
  </si>
  <si>
    <t>Justified-large quality gain</t>
  </si>
  <si>
    <t>Q11. Online ordering vs dine-in only — avg rating, avg cost, count side-by-side comparison.</t>
  </si>
  <si>
    <t>Q12. Dual-service restaurants (online ordering + table booking both) vs single-service vs neither.</t>
  </si>
  <si>
    <t>KPI Summary</t>
  </si>
  <si>
    <t>Rating Jump</t>
  </si>
  <si>
    <t>Quality Jump</t>
  </si>
  <si>
    <t>Verdict</t>
  </si>
  <si>
    <t>Signal Label</t>
  </si>
  <si>
    <t>Combined Location Ranking — all unique locations across Q4, Q5, Q6 with cross-referenced ranks.</t>
  </si>
  <si>
    <t>Volume Rank</t>
  </si>
  <si>
    <t>Ranks Available</t>
  </si>
  <si>
    <t>Overall Rank</t>
  </si>
  <si>
    <t>Top 15 Locations by Quality Score (from Q4, sorted descending)</t>
  </si>
  <si>
    <t>Rank Gap</t>
  </si>
  <si>
    <t>Rank Gap Label</t>
  </si>
  <si>
    <t>Gem Rarity Funnel</t>
  </si>
  <si>
    <t>Stage</t>
  </si>
  <si>
    <t>Count</t>
  </si>
  <si>
    <t>Pct Of Previous</t>
  </si>
  <si>
    <t>Rated At All</t>
  </si>
  <si>
    <t>Never Reviewed</t>
  </si>
  <si>
    <t>Rated 4.0+</t>
  </si>
  <si>
    <t>Proven Gems (4.0+ AND 100+ Votes)</t>
  </si>
  <si>
    <t>Unproven Gems (4.0+ But Under 100 Votes)</t>
  </si>
  <si>
    <t>What-If: Enter a Budget (₹) to Estimate Expected Quality</t>
  </si>
  <si>
    <t>Your Budget (₹)</t>
  </si>
  <si>
    <t>Price Tier</t>
  </si>
  <si>
    <t>Expected Avg Rating</t>
  </si>
  <si>
    <t>Expected Quality Score Pct</t>
  </si>
  <si>
    <t>Within Tier Gap</t>
  </si>
  <si>
    <t>Both Services</t>
  </si>
  <si>
    <t>Online Only</t>
  </si>
  <si>
    <t>Table Only</t>
  </si>
  <si>
    <t>Neither</t>
  </si>
  <si>
    <t>Platform Average</t>
  </si>
  <si>
    <t>.</t>
  </si>
  <si>
    <t>Platform Average Rating</t>
  </si>
  <si>
    <t>Average Cost for two</t>
  </si>
  <si>
    <t>Unique Locations</t>
  </si>
  <si>
    <t>Table Booking</t>
  </si>
  <si>
    <t>Unique Cuisines</t>
  </si>
  <si>
    <t>Unrated Restaurants</t>
  </si>
  <si>
    <t>Top 5 Finding Across the Analysis</t>
  </si>
  <si>
    <t>Dimension</t>
  </si>
  <si>
    <t>Key  Finding</t>
  </si>
  <si>
    <t>Number</t>
  </si>
  <si>
    <t>Source</t>
  </si>
  <si>
    <t>Rating</t>
  </si>
  <si>
    <t>Cuisine</t>
  </si>
  <si>
    <t>Pricing</t>
  </si>
  <si>
    <t>Service</t>
  </si>
  <si>
    <t>Restaurants with 5000+ votes are always Good or Excellent</t>
  </si>
  <si>
    <t>100% quality score (31 restaurants)</t>
  </si>
  <si>
    <t>Q3</t>
  </si>
  <si>
    <t>Koramangala 5th Block is the most reliable location in Bengaluru</t>
  </si>
  <si>
    <t>85% quality score</t>
  </si>
  <si>
    <t>Q4</t>
  </si>
  <si>
    <t>North Indian dominated supply but ranks poorly on quality</t>
  </si>
  <si>
    <t>Budget hidden gems outrate the entire premium tier on average</t>
  </si>
  <si>
    <t>Table booking alone predicts quality better than combining both services</t>
  </si>
  <si>
    <t>66.7% of locations, Quality Rank #22 (gap - 21)</t>
  </si>
  <si>
    <t xml:space="preserve">4.17 vs 3.99 avg rating </t>
  </si>
  <si>
    <t>Q7/Q8</t>
  </si>
  <si>
    <t>Q10</t>
  </si>
  <si>
    <t>Q12</t>
  </si>
  <si>
    <t>4.15 vs 4.09 avg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</si>
</sst>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5" formatCode="&quot;₹&quot;#,##0_);\(&quot;₹&quot;#,##0\)"/>
    <numFmt numFmtId="167" formatCode="0.0&quot;%&quot;"/>
    <numFmt numFmtId="170" formatCode="0.0"/>
    <numFmt numFmtId="171" formatCode="0.0%"/>
  </numFmts>
  <fonts count="1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4"/>
      <color theme="1"/>
      <name val="Aptos Narrow"/>
      <scheme val="minor"/>
    </font>
    <font>
      <sz val="14"/>
      <color theme="1"/>
      <name val="Aptos Narrow"/>
      <family val="2"/>
      <scheme val="minor"/>
    </font>
    <font>
      <b/>
      <i/>
      <sz val="14"/>
      <color theme="1"/>
      <name val="Aptos Narrow"/>
      <scheme val="minor"/>
    </font>
    <font>
      <sz val="12"/>
      <color theme="1"/>
      <name val="Aptos Narrow"/>
      <scheme val="minor"/>
    </font>
    <font>
      <b/>
      <sz val="14"/>
      <color rgb="FF000000"/>
      <name val="Aptos Narrow"/>
      <scheme val="minor"/>
    </font>
    <font>
      <b/>
      <i/>
      <sz val="20"/>
      <color theme="1"/>
      <name val="Aptos Narrow"/>
      <scheme val="minor"/>
    </font>
    <font>
      <sz val="12"/>
      <color rgb="FF000000"/>
      <name val="Aptos Narrow"/>
      <scheme val="minor"/>
    </font>
    <font>
      <b/>
      <i/>
      <sz val="14"/>
      <color rgb="FF000000"/>
      <name val="Aptos Narrow"/>
      <scheme val="minor"/>
    </font>
    <font>
      <b/>
      <sz val="12"/>
      <color rgb="FF000000"/>
      <name val="Aptos Narrow"/>
      <scheme val="minor"/>
    </font>
    <font>
      <sz val="12"/>
      <color rgb="FF0000FF"/>
      <name val="Aptos Narrow"/>
      <scheme val="minor"/>
    </font>
    <font>
      <b/>
      <i/>
      <sz val="18"/>
      <color theme="0"/>
      <name val="Aptos Narrow"/>
      <scheme val="minor"/>
    </font>
    <font>
      <b/>
      <sz val="16"/>
      <color theme="0"/>
      <name val="Aptos Narrow"/>
      <scheme val="minor"/>
    </font>
    <font>
      <b/>
      <sz val="36"/>
      <color theme="0"/>
      <name val="Aptos Narrow"/>
      <scheme val="minor"/>
    </font>
    <font>
      <b/>
      <sz val="48"/>
      <color theme="0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9.9978637043366805E-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ck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1" fillId="0" borderId="0" xfId="0" applyFont="1"/>
    <xf numFmtId="0" fontId="4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Border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6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0" fillId="0" borderId="6" xfId="0" applyBorder="1"/>
    <xf numFmtId="0" fontId="0" fillId="0" borderId="9" xfId="0" applyBorder="1"/>
    <xf numFmtId="0" fontId="7" fillId="4" borderId="0" xfId="0" applyFont="1" applyFill="1" applyAlignment="1">
      <alignment horizontal="left"/>
    </xf>
    <xf numFmtId="0" fontId="6" fillId="3" borderId="0" xfId="0" applyFont="1" applyFill="1" applyBorder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6" fillId="3" borderId="13" xfId="0" applyFont="1" applyFill="1" applyBorder="1" applyAlignment="1">
      <alignment horizontal="center"/>
    </xf>
    <xf numFmtId="0" fontId="0" fillId="0" borderId="11" xfId="0" applyBorder="1"/>
    <xf numFmtId="167" fontId="0" fillId="0" borderId="0" xfId="0" applyNumberFormat="1" applyBorder="1" applyAlignment="1">
      <alignment horizontal="center"/>
    </xf>
    <xf numFmtId="167" fontId="0" fillId="0" borderId="8" xfId="0" applyNumberFormat="1" applyBorder="1" applyAlignment="1">
      <alignment horizontal="center"/>
    </xf>
    <xf numFmtId="3" fontId="0" fillId="0" borderId="0" xfId="0" applyNumberFormat="1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6" fillId="3" borderId="19" xfId="0" applyFont="1" applyFill="1" applyBorder="1" applyAlignment="1">
      <alignment horizontal="center"/>
    </xf>
    <xf numFmtId="0" fontId="6" fillId="3" borderId="20" xfId="0" applyFont="1" applyFill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167" fontId="5" fillId="0" borderId="6" xfId="0" applyNumberFormat="1" applyFont="1" applyBorder="1" applyAlignment="1">
      <alignment horizontal="center"/>
    </xf>
    <xf numFmtId="167" fontId="5" fillId="0" borderId="9" xfId="0" applyNumberFormat="1" applyFont="1" applyBorder="1" applyAlignment="1">
      <alignment horizontal="center"/>
    </xf>
    <xf numFmtId="0" fontId="0" fillId="0" borderId="21" xfId="0" applyBorder="1"/>
    <xf numFmtId="2" fontId="0" fillId="0" borderId="0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5" fontId="0" fillId="0" borderId="0" xfId="0" applyNumberFormat="1" applyBorder="1" applyAlignment="1">
      <alignment horizontal="center"/>
    </xf>
    <xf numFmtId="5" fontId="0" fillId="0" borderId="8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0" fontId="9" fillId="0" borderId="0" xfId="0" applyFont="1" applyFill="1" applyBorder="1" applyAlignment="1">
      <alignment horizontal="left"/>
    </xf>
    <xf numFmtId="0" fontId="6" fillId="3" borderId="16" xfId="0" applyFont="1" applyFill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170" fontId="8" fillId="0" borderId="13" xfId="0" applyNumberFormat="1" applyFont="1" applyBorder="1" applyAlignment="1">
      <alignment horizontal="center"/>
    </xf>
    <xf numFmtId="170" fontId="8" fillId="0" borderId="14" xfId="0" applyNumberFormat="1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167" fontId="5" fillId="0" borderId="13" xfId="0" applyNumberFormat="1" applyFont="1" applyBorder="1" applyAlignment="1">
      <alignment horizontal="center"/>
    </xf>
    <xf numFmtId="167" fontId="5" fillId="0" borderId="14" xfId="0" applyNumberFormat="1" applyFont="1" applyBorder="1" applyAlignment="1">
      <alignment horizontal="center"/>
    </xf>
    <xf numFmtId="167" fontId="0" fillId="0" borderId="6" xfId="0" applyNumberFormat="1" applyBorder="1" applyAlignment="1">
      <alignment horizontal="center"/>
    </xf>
    <xf numFmtId="167" fontId="0" fillId="0" borderId="9" xfId="0" applyNumberFormat="1" applyBorder="1" applyAlignment="1">
      <alignment horizontal="center"/>
    </xf>
    <xf numFmtId="0" fontId="6" fillId="3" borderId="17" xfId="0" applyFont="1" applyFill="1" applyBorder="1" applyAlignment="1">
      <alignment horizontal="center"/>
    </xf>
    <xf numFmtId="3" fontId="0" fillId="0" borderId="6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3" fontId="5" fillId="0" borderId="0" xfId="0" applyNumberFormat="1" applyFont="1" applyAlignment="1">
      <alignment horizontal="center"/>
    </xf>
    <xf numFmtId="0" fontId="6" fillId="3" borderId="15" xfId="0" applyFont="1" applyFill="1" applyBorder="1" applyAlignment="1">
      <alignment horizontal="center"/>
    </xf>
    <xf numFmtId="0" fontId="5" fillId="0" borderId="2" xfId="0" applyFont="1" applyBorder="1"/>
    <xf numFmtId="0" fontId="5" fillId="0" borderId="5" xfId="0" applyFont="1" applyBorder="1"/>
    <xf numFmtId="171" fontId="5" fillId="0" borderId="4" xfId="0" applyNumberFormat="1" applyFont="1" applyBorder="1" applyAlignment="1">
      <alignment horizontal="center"/>
    </xf>
    <xf numFmtId="171" fontId="5" fillId="0" borderId="6" xfId="0" applyNumberFormat="1" applyFont="1" applyBorder="1" applyAlignment="1">
      <alignment horizontal="center"/>
    </xf>
    <xf numFmtId="0" fontId="5" fillId="0" borderId="7" xfId="0" applyFont="1" applyBorder="1"/>
    <xf numFmtId="3" fontId="5" fillId="0" borderId="8" xfId="0" applyNumberFormat="1" applyFont="1" applyBorder="1" applyAlignment="1">
      <alignment horizontal="center"/>
    </xf>
    <xf numFmtId="171" fontId="5" fillId="0" borderId="9" xfId="0" applyNumberFormat="1" applyFont="1" applyBorder="1" applyAlignment="1">
      <alignment horizontal="center"/>
    </xf>
    <xf numFmtId="2" fontId="8" fillId="0" borderId="6" xfId="0" applyNumberFormat="1" applyFont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3" fontId="11" fillId="5" borderId="1" xfId="0" applyNumberFormat="1" applyFont="1" applyFill="1" applyBorder="1" applyAlignment="1">
      <alignment horizontal="center"/>
    </xf>
    <xf numFmtId="0" fontId="10" fillId="3" borderId="1" xfId="0" applyFont="1" applyFill="1" applyBorder="1"/>
    <xf numFmtId="0" fontId="8" fillId="0" borderId="1" xfId="0" applyFont="1" applyBorder="1" applyAlignment="1">
      <alignment horizontal="center"/>
    </xf>
    <xf numFmtId="2" fontId="8" fillId="0" borderId="1" xfId="0" applyNumberFormat="1" applyFont="1" applyBorder="1" applyAlignment="1">
      <alignment horizontal="center"/>
    </xf>
    <xf numFmtId="167" fontId="8" fillId="0" borderId="1" xfId="0" applyNumberFormat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167" fontId="0" fillId="0" borderId="0" xfId="0" applyNumberFormat="1"/>
    <xf numFmtId="3" fontId="0" fillId="0" borderId="0" xfId="0" applyNumberFormat="1"/>
    <xf numFmtId="0" fontId="6" fillId="3" borderId="22" xfId="0" applyFont="1" applyFill="1" applyBorder="1" applyAlignment="1">
      <alignment horizontal="center"/>
    </xf>
    <xf numFmtId="0" fontId="8" fillId="0" borderId="22" xfId="0" applyFont="1" applyBorder="1" applyAlignment="1">
      <alignment horizontal="center"/>
    </xf>
    <xf numFmtId="2" fontId="8" fillId="0" borderId="22" xfId="0" applyNumberFormat="1" applyFont="1" applyBorder="1" applyAlignment="1">
      <alignment horizontal="center"/>
    </xf>
    <xf numFmtId="167" fontId="8" fillId="0" borderId="22" xfId="0" applyNumberFormat="1" applyFont="1" applyBorder="1" applyAlignment="1">
      <alignment horizontal="center"/>
    </xf>
    <xf numFmtId="2" fontId="8" fillId="0" borderId="21" xfId="0" applyNumberFormat="1" applyFont="1" applyBorder="1" applyAlignment="1">
      <alignment horizontal="center"/>
    </xf>
    <xf numFmtId="0" fontId="6" fillId="0" borderId="21" xfId="0" applyFont="1" applyFill="1" applyBorder="1" applyAlignment="1">
      <alignment horizontal="center"/>
    </xf>
    <xf numFmtId="0" fontId="12" fillId="6" borderId="0" xfId="0" applyFont="1" applyFill="1" applyAlignment="1">
      <alignment horizontal="center"/>
    </xf>
    <xf numFmtId="0" fontId="13" fillId="6" borderId="1" xfId="0" applyFont="1" applyFill="1" applyBorder="1" applyAlignment="1">
      <alignment horizontal="center"/>
    </xf>
    <xf numFmtId="0" fontId="13" fillId="6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0" fontId="15" fillId="6" borderId="0" xfId="0" applyFont="1" applyFill="1" applyAlignment="1">
      <alignment horizontal="center"/>
    </xf>
    <xf numFmtId="5" fontId="15" fillId="6" borderId="0" xfId="0" applyNumberFormat="1" applyFont="1" applyFill="1" applyAlignment="1">
      <alignment horizontal="center"/>
    </xf>
    <xf numFmtId="10" fontId="14" fillId="6" borderId="0" xfId="0" applyNumberFormat="1" applyFont="1" applyFill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22"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EB9C"/>
        </patternFill>
      </fill>
    </dxf>
    <dxf>
      <fill>
        <patternFill patternType="solid">
          <fgColor indexed="64"/>
          <bgColor rgb="FFFFD9B3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D9D9D9"/>
        </patternFill>
      </fill>
    </dxf>
    <dxf>
      <fill>
        <patternFill patternType="solid">
          <fgColor indexed="64"/>
          <bgColor rgb="FF006100"/>
        </patternFill>
      </fill>
    </dxf>
    <dxf>
      <fill>
        <patternFill patternType="solid">
          <fgColor indexed="64"/>
          <bgColor rgb="FFC6EFCE"/>
        </patternFill>
      </fill>
    </dxf>
    <dxf>
      <font>
        <color rgb="FFFFFFFF"/>
      </font>
      <fill>
        <patternFill patternType="solid">
          <fgColor indexed="64"/>
          <bgColor rgb="FFFFEB9C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EB9C"/>
        </patternFill>
      </fill>
    </dxf>
    <dxf>
      <fill>
        <patternFill patternType="solid">
          <fgColor indexed="64"/>
          <bgColor rgb="FFD9D9D9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EB9C"/>
        </patternFill>
      </fill>
    </dxf>
    <dxf>
      <fill>
        <patternFill patternType="solid">
          <fgColor indexed="64"/>
          <bgColor rgb="FFD9D9D9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8CBAD"/>
        </patternFill>
      </fill>
    </dxf>
    <dxf>
      <fill>
        <patternFill patternType="solid">
          <fgColor indexed="64"/>
          <bgColor rgb="FFBDD7EE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EB9C"/>
        </patternFill>
      </fill>
    </dxf>
    <dxf>
      <fill>
        <patternFill patternType="solid">
          <fgColor indexed="64"/>
          <bgColor rgb="FFD9D9D9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Quality Score by Price Tier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Rating_analysis!$AS$3</c:f>
              <c:strCache>
                <c:ptCount val="1"/>
                <c:pt idx="0">
                  <c:v>Quality Score Pct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 w="9525" cap="flat" cmpd="sng" algn="ctr">
                <a:solidFill>
                  <a:schemeClr val="accent1"/>
                </a:solidFill>
                <a:miter lim="800000"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1-1C19-3445-80F3-DB5A8E54E178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 w="9525" cap="flat" cmpd="sng" algn="ctr">
                <a:solidFill>
                  <a:schemeClr val="accent1"/>
                </a:solidFill>
                <a:miter lim="800000"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2-1C19-3445-80F3-DB5A8E54E178}"/>
              </c:ext>
            </c:extLst>
          </c:dPt>
          <c:dPt>
            <c:idx val="2"/>
            <c:invertIfNegative val="0"/>
            <c:bubble3D val="0"/>
            <c:spPr>
              <a:solidFill>
                <a:srgbClr val="92D050"/>
              </a:solidFill>
              <a:ln w="9525" cap="flat" cmpd="sng" algn="ctr">
                <a:solidFill>
                  <a:schemeClr val="accent1"/>
                </a:solidFill>
                <a:miter lim="800000"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3-1C19-3445-80F3-DB5A8E54E17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Rating_analysis!$AR$4:$AR$6</c:f>
              <c:strCache>
                <c:ptCount val="3"/>
                <c:pt idx="0">
                  <c:v>Budget</c:v>
                </c:pt>
                <c:pt idx="1">
                  <c:v>Mid-range</c:v>
                </c:pt>
                <c:pt idx="2">
                  <c:v>Premium</c:v>
                </c:pt>
              </c:strCache>
            </c:strRef>
          </c:cat>
          <c:val>
            <c:numRef>
              <c:f>Rating_analysis!$AS$4:$AS$6</c:f>
              <c:numCache>
                <c:formatCode>0.0"%"</c:formatCode>
                <c:ptCount val="3"/>
                <c:pt idx="0">
                  <c:v>60.4</c:v>
                </c:pt>
                <c:pt idx="1">
                  <c:v>69</c:v>
                </c:pt>
                <c:pt idx="2">
                  <c:v>88.8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19-3445-80F3-DB5A8E54E1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429301183"/>
        <c:axId val="429294015"/>
      </c:barChart>
      <c:catAx>
        <c:axId val="42930118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294015"/>
        <c:crosses val="autoZero"/>
        <c:auto val="1"/>
        <c:lblAlgn val="ctr"/>
        <c:lblOffset val="100"/>
        <c:noMultiLvlLbl val="0"/>
      </c:catAx>
      <c:valAx>
        <c:axId val="429294015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Quality Score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&quot;%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301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15 Locations by Quality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Location_analysis!$I$22</c:f>
              <c:strCache>
                <c:ptCount val="1"/>
                <c:pt idx="0">
                  <c:v>Quality Score Pct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Location_analysis!$H$23:$H$37</c:f>
              <c:strCache>
                <c:ptCount val="15"/>
                <c:pt idx="0">
                  <c:v>Koramangala 5th Block</c:v>
                </c:pt>
                <c:pt idx="1">
                  <c:v>Jayanagar</c:v>
                </c:pt>
                <c:pt idx="2">
                  <c:v>Indiranagar</c:v>
                </c:pt>
                <c:pt idx="3">
                  <c:v>Kalyan Nagar</c:v>
                </c:pt>
                <c:pt idx="4">
                  <c:v>New BEL Road</c:v>
                </c:pt>
                <c:pt idx="5">
                  <c:v>Banashankari</c:v>
                </c:pt>
                <c:pt idx="6">
                  <c:v>HSR</c:v>
                </c:pt>
                <c:pt idx="7">
                  <c:v>JP Nagar</c:v>
                </c:pt>
                <c:pt idx="8">
                  <c:v>Sarjapur Road</c:v>
                </c:pt>
                <c:pt idx="9">
                  <c:v>BTM</c:v>
                </c:pt>
                <c:pt idx="10">
                  <c:v>Whitefield</c:v>
                </c:pt>
                <c:pt idx="11">
                  <c:v>Marathahalli</c:v>
                </c:pt>
                <c:pt idx="12">
                  <c:v>Bellandur</c:v>
                </c:pt>
                <c:pt idx="13">
                  <c:v>Electronic City</c:v>
                </c:pt>
                <c:pt idx="14">
                  <c:v>Bannerghatta Road</c:v>
                </c:pt>
              </c:strCache>
            </c:strRef>
          </c:cat>
          <c:val>
            <c:numRef>
              <c:f>Location_analysis!$I$23:$I$37</c:f>
              <c:numCache>
                <c:formatCode>0.0"%"</c:formatCode>
                <c:ptCount val="15"/>
                <c:pt idx="0">
                  <c:v>85</c:v>
                </c:pt>
                <c:pt idx="1">
                  <c:v>80.099999999999994</c:v>
                </c:pt>
                <c:pt idx="2">
                  <c:v>77.5</c:v>
                </c:pt>
                <c:pt idx="3">
                  <c:v>75.900000000000006</c:v>
                </c:pt>
                <c:pt idx="4">
                  <c:v>70.400000000000006</c:v>
                </c:pt>
                <c:pt idx="5">
                  <c:v>70.400000000000006</c:v>
                </c:pt>
                <c:pt idx="6">
                  <c:v>70.2</c:v>
                </c:pt>
                <c:pt idx="7">
                  <c:v>69.099999999999994</c:v>
                </c:pt>
                <c:pt idx="8">
                  <c:v>66.3</c:v>
                </c:pt>
                <c:pt idx="9">
                  <c:v>64.099999999999994</c:v>
                </c:pt>
                <c:pt idx="10">
                  <c:v>63.8</c:v>
                </c:pt>
                <c:pt idx="11">
                  <c:v>59.8</c:v>
                </c:pt>
                <c:pt idx="12">
                  <c:v>56.3</c:v>
                </c:pt>
                <c:pt idx="13">
                  <c:v>54.1</c:v>
                </c:pt>
                <c:pt idx="14">
                  <c:v>53.5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9B-2E40-A124-7B3801F98C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509964991"/>
        <c:axId val="509954239"/>
      </c:barChart>
      <c:catAx>
        <c:axId val="50996499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954239"/>
        <c:crosses val="autoZero"/>
        <c:auto val="1"/>
        <c:lblAlgn val="ctr"/>
        <c:lblOffset val="100"/>
        <c:noMultiLvlLbl val="0"/>
      </c:catAx>
      <c:valAx>
        <c:axId val="509954239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Quality Score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&quot;%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964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Popularity vs Quality — Hidden Gems vs Overrated Cuisines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Cuisine_analysis!$AY$5</c:f>
              <c:strCache>
                <c:ptCount val="1"/>
                <c:pt idx="0">
                  <c:v>Rank Gap</c:v>
                </c:pt>
              </c:strCache>
            </c:strRef>
          </c:tx>
          <c:spPr>
            <a:solidFill>
              <a:srgbClr val="63C384"/>
            </a:solidFill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Cuisine_analysis!$AX$6:$AX$13</c:f>
              <c:strCache>
                <c:ptCount val="8"/>
                <c:pt idx="0">
                  <c:v>Biryani</c:v>
                </c:pt>
                <c:pt idx="1">
                  <c:v>Fast Food</c:v>
                </c:pt>
                <c:pt idx="2">
                  <c:v>North Indian</c:v>
                </c:pt>
                <c:pt idx="3">
                  <c:v>South Indian</c:v>
                </c:pt>
                <c:pt idx="4">
                  <c:v>Pizza</c:v>
                </c:pt>
                <c:pt idx="5">
                  <c:v>Desserts</c:v>
                </c:pt>
                <c:pt idx="6">
                  <c:v>Ice Cream</c:v>
                </c:pt>
                <c:pt idx="7">
                  <c:v>Continental</c:v>
                </c:pt>
              </c:strCache>
            </c:strRef>
          </c:cat>
          <c:val>
            <c:numRef>
              <c:f>Cuisine_analysis!$AY$6:$AY$13</c:f>
              <c:numCache>
                <c:formatCode>General</c:formatCode>
                <c:ptCount val="8"/>
                <c:pt idx="0">
                  <c:v>-24</c:v>
                </c:pt>
                <c:pt idx="1">
                  <c:v>-23</c:v>
                </c:pt>
                <c:pt idx="2">
                  <c:v>-21</c:v>
                </c:pt>
                <c:pt idx="3">
                  <c:v>-19</c:v>
                </c:pt>
                <c:pt idx="4">
                  <c:v>1</c:v>
                </c:pt>
                <c:pt idx="5">
                  <c:v>1</c:v>
                </c:pt>
                <c:pt idx="6">
                  <c:v>3</c:v>
                </c:pt>
                <c:pt idx="7">
                  <c:v>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8696B"/>
                  </a:solidFill>
                  <a:ln w="9525" cap="flat" cmpd="sng" algn="ctr">
                    <a:solidFill>
                      <a:schemeClr val="accent1"/>
                    </a:solidFill>
                    <a:miter lim="800000"/>
                  </a:ln>
                  <a:effectLst>
                    <a:glow rad="63500">
                      <a:schemeClr val="accent1">
                        <a:satMod val="175000"/>
                        <a:alpha val="25000"/>
                      </a:schemeClr>
                    </a:glow>
                  </a:effectLst>
                </c14:spPr>
              </c14:invertSolidFillFmt>
            </c:ext>
            <c:ext xmlns:c16="http://schemas.microsoft.com/office/drawing/2014/chart" uri="{C3380CC4-5D6E-409C-BE32-E72D297353CC}">
              <c16:uniqueId val="{00000000-34E5-6544-BE46-46965B1A72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-50"/>
        <c:axId val="1940902272"/>
        <c:axId val="1981616064"/>
      </c:barChart>
      <c:catAx>
        <c:axId val="194090227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1616064"/>
        <c:crosses val="autoZero"/>
        <c:auto val="1"/>
        <c:lblAlgn val="ctr"/>
        <c:lblOffset val="100"/>
        <c:noMultiLvlLbl val="0"/>
      </c:catAx>
      <c:valAx>
        <c:axId val="198161606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Rank Gap (Popularity − Quality)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902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Service Segment Performance vs Platform Average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Service_adoption!$BC$5</c:f>
              <c:strCache>
                <c:ptCount val="1"/>
                <c:pt idx="0">
                  <c:v>Quality Score Pct</c:v>
                </c:pt>
              </c:strCache>
            </c:strRef>
          </c:tx>
          <c:spPr>
            <a:solidFill>
              <a:srgbClr val="FF0000"/>
            </a:solidFill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Service_adoption!$BA$6:$BA$10</c:f>
              <c:strCache>
                <c:ptCount val="5"/>
                <c:pt idx="0">
                  <c:v>Both Services</c:v>
                </c:pt>
                <c:pt idx="1">
                  <c:v>Online Only</c:v>
                </c:pt>
                <c:pt idx="2">
                  <c:v>Table Only</c:v>
                </c:pt>
                <c:pt idx="3">
                  <c:v>Neither</c:v>
                </c:pt>
                <c:pt idx="4">
                  <c:v>Platform Average</c:v>
                </c:pt>
              </c:strCache>
            </c:strRef>
          </c:cat>
          <c:val>
            <c:numRef>
              <c:f>Service_adoption!$BC$6:$BC$10</c:f>
              <c:numCache>
                <c:formatCode>0.0"%"</c:formatCode>
                <c:ptCount val="5"/>
                <c:pt idx="0">
                  <c:v>96.9</c:v>
                </c:pt>
                <c:pt idx="1">
                  <c:v>68.8</c:v>
                </c:pt>
                <c:pt idx="2">
                  <c:v>97.9</c:v>
                </c:pt>
                <c:pt idx="3">
                  <c:v>54.9</c:v>
                </c:pt>
                <c:pt idx="4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C1-8346-8530-4A2815C26A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764169727"/>
        <c:axId val="764167935"/>
      </c:barChart>
      <c:lineChart>
        <c:grouping val="standard"/>
        <c:varyColors val="0"/>
        <c:ser>
          <c:idx val="0"/>
          <c:order val="0"/>
          <c:tx>
            <c:strRef>
              <c:f>Service_adoption!$BB$5</c:f>
              <c:strCache>
                <c:ptCount val="1"/>
                <c:pt idx="0">
                  <c:v>Avg Rating</c:v>
                </c:pt>
              </c:strCache>
            </c:strRef>
          </c:tx>
          <c:spPr>
            <a:ln w="31750" cap="rnd">
              <a:solidFill>
                <a:srgbClr val="638EC6"/>
              </a:solidFill>
              <a:prstDash val="solid"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8"/>
            <c:spPr>
              <a:solidFill>
                <a:srgbClr val="FFFFFF"/>
              </a:solidFill>
              <a:ln>
                <a:solidFill>
                  <a:srgbClr val="638EC6"/>
                </a:solidFill>
                <a:prstDash val="solid"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Service_adoption!$BA$6:$BA$10</c:f>
              <c:strCache>
                <c:ptCount val="5"/>
                <c:pt idx="0">
                  <c:v>Both Services</c:v>
                </c:pt>
                <c:pt idx="1">
                  <c:v>Online Only</c:v>
                </c:pt>
                <c:pt idx="2">
                  <c:v>Table Only</c:v>
                </c:pt>
                <c:pt idx="3">
                  <c:v>Neither</c:v>
                </c:pt>
                <c:pt idx="4">
                  <c:v>Platform Average</c:v>
                </c:pt>
              </c:strCache>
            </c:strRef>
          </c:cat>
          <c:val>
            <c:numRef>
              <c:f>Service_adoption!$BB$6:$BB$10</c:f>
              <c:numCache>
                <c:formatCode>0.00</c:formatCode>
                <c:ptCount val="5"/>
                <c:pt idx="0">
                  <c:v>4.09</c:v>
                </c:pt>
                <c:pt idx="1">
                  <c:v>3.62</c:v>
                </c:pt>
                <c:pt idx="2">
                  <c:v>4.1500000000000004</c:v>
                </c:pt>
                <c:pt idx="3">
                  <c:v>3.52</c:v>
                </c:pt>
                <c:pt idx="4">
                  <c:v>3.63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C1-8346-8530-4A2815C26A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20699584"/>
        <c:axId val="1940933248"/>
      </c:lineChart>
      <c:catAx>
        <c:axId val="76416972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167935"/>
        <c:crosses val="autoZero"/>
        <c:auto val="1"/>
        <c:lblAlgn val="ctr"/>
        <c:lblOffset val="100"/>
        <c:noMultiLvlLbl val="0"/>
      </c:catAx>
      <c:valAx>
        <c:axId val="764167935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Quality Score Pct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&quot;%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169727"/>
        <c:crosses val="autoZero"/>
        <c:crossBetween val="between"/>
      </c:valAx>
      <c:valAx>
        <c:axId val="1940933248"/>
        <c:scaling>
          <c:orientation val="minMax"/>
          <c:max val="5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Avg Rating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699584"/>
        <c:crosses val="max"/>
        <c:crossBetween val="between"/>
      </c:valAx>
      <c:catAx>
        <c:axId val="18206995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40933248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11546</xdr:colOff>
      <xdr:row>1</xdr:row>
      <xdr:rowOff>138547</xdr:rowOff>
    </xdr:from>
    <xdr:ext cx="7065818" cy="37407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F1BC51D-DD1E-9D44-9E47-8805993E3D74}"/>
            </a:ext>
          </a:extLst>
        </xdr:cNvPr>
        <xdr:cNvSpPr txBox="1"/>
      </xdr:nvSpPr>
      <xdr:spPr>
        <a:xfrm>
          <a:off x="842819" y="484911"/>
          <a:ext cx="7065818" cy="374077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GB" sz="1800" b="1" i="1">
              <a:solidFill>
                <a:schemeClr val="bg1"/>
              </a:solidFill>
            </a:rPr>
            <a:t>Zomato Bangalore</a:t>
          </a:r>
          <a:r>
            <a:rPr lang="en-GB" sz="1800" b="1" i="1" baseline="0">
              <a:solidFill>
                <a:schemeClr val="bg1"/>
              </a:solidFill>
            </a:rPr>
            <a:t> Restaurants Analysis - Executive Summary</a:t>
          </a:r>
          <a:endParaRPr lang="en-GB" sz="1800" b="1" i="1">
            <a:solidFill>
              <a:schemeClr val="bg1"/>
            </a:solidFill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0</xdr:colOff>
      <xdr:row>6</xdr:row>
      <xdr:rowOff>203199</xdr:rowOff>
    </xdr:from>
    <xdr:to>
      <xdr:col>52</xdr:col>
      <xdr:colOff>0</xdr:colOff>
      <xdr:row>25</xdr:row>
      <xdr:rowOff>191698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0AC028-E6FA-401A-CA4D-B0D2B0F618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38</xdr:row>
      <xdr:rowOff>0</xdr:rowOff>
    </xdr:from>
    <xdr:to>
      <xdr:col>17</xdr:col>
      <xdr:colOff>0</xdr:colOff>
      <xdr:row>62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E30C80-F93E-F877-CA6C-E48E374ECF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49</xdr:col>
      <xdr:colOff>0</xdr:colOff>
      <xdr:row>14</xdr:row>
      <xdr:rowOff>0</xdr:rowOff>
    </xdr:from>
    <xdr:to>
      <xdr:col>61</xdr:col>
      <xdr:colOff>12700</xdr:colOff>
      <xdr:row>38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36BACE-9005-B6DA-F718-CDEC1206B7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0</xdr:rowOff>
    </xdr:from>
    <xdr:to>
      <xdr:col>9</xdr:col>
      <xdr:colOff>12700</xdr:colOff>
      <xdr:row>31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8F221F-7A93-2569-C7A6-BE9B327507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3_vote_buckets" connectionId="9" xr16:uid="{CC34458B-C4C2-054B-9938-21F55B945BC8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2_rating_tier_crosstab" connectionId="8" xr16:uid="{6764D53B-1517-504A-9893-A96A3C5B6FC7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1_credible_restaurants" connectionId="1" xr16:uid="{56CAC1AF-306E-4046-B75B-E9CF637B15F8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6_digital_adoption" connectionId="12" xr16:uid="{44E6500E-089D-EA4E-BFFB-1E2C05A1FEC2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5_value_locations" connectionId="11" xr16:uid="{EB841438-8B15-7D41-B930-C84DA2B0DFE2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4_location_leaderboard" connectionId="10" xr16:uid="{84D52D2E-547F-6A41-A512-AE958902DEEB}" autoFormatId="16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8b_cuisine_quality" connectionId="16" xr16:uid="{797AB9EB-AE0C-3148-954B-FE0BA7D27DFA}" autoFormatId="16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8a_cuisine_popularity" connectionId="15" xr16:uid="{79787DEE-6200-0B48-A018-83EFCE3AF49B}" autoFormatId="16" applyNumberFormats="0" applyBorderFormats="0" applyFontFormats="1" applyPatternFormats="1" applyAlignmentFormats="0" applyWidthHeightFormats="0"/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7b_cuisine_dominance_summary" connectionId="14" xr16:uid="{F485A728-2773-C246-9AC5-C674E3DFABC7}" autoFormatId="16" applyNumberFormats="0" applyBorderFormats="0" applyFontFormats="1" applyPatternFormats="1" applyAlignmentFormats="0" applyWidthHeightFormats="0"/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7a_dominant_cuisine_per_location" connectionId="13" xr16:uid="{81197B34-6720-184B-9B15-DC7518DFFBAF}" autoFormatId="16" applyNumberFormats="0" applyBorderFormats="0" applyFontFormats="1" applyPatternFormats="1" applyAlignmentFormats="0" applyWidthHeightFormats="0"/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10b_gem_rarity" connectionId="3" xr16:uid="{971E4B86-FEFD-3E4D-8043-8DB81748C095}" autoFormatId="16" applyNumberFormats="0" applyBorderFormats="0" applyFontFormats="1" applyPatternFormats="1" applyAlignmentFormats="0" applyWidthHeightFormats="0"/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10a_hidden_gems" connectionId="2" xr16:uid="{12CD4F4E-1BE7-864A-854A-37C3622A09C2}" autoFormatId="16" applyNumberFormats="0" applyBorderFormats="0" applyFontFormats="1" applyPatternFormats="1" applyAlignmentFormats="0" applyWidthHeightFormats="0"/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9_price_tier_performance" connectionId="17" xr16:uid="{B2776700-5E72-4F41-B516-C1C97AB9DDDB}" autoFormatId="16" applyNumberFormats="0" applyBorderFormats="0" applyFontFormats="1" applyPatternFormats="1" applyAlignmentFormats="0" applyWidthHeightFormats="0"/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12b_service_by_tier" connectionId="7" xr16:uid="{AEEE7094-6CAF-574C-99CC-5AC18E0AAB82}" autoFormatId="16" applyNumberFormats="0" applyBorderFormats="0" applyFontFormats="1" applyPatternFormats="1" applyAlignmentFormats="0" applyWidthHeightFormats="0"/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12a_service_segments" connectionId="6" xr16:uid="{DE2EB848-B86A-D545-8322-DB6873B21196}" autoFormatId="16" applyNumberFormats="0" applyBorderFormats="0" applyFontFormats="1" applyPatternFormats="1" applyAlignmentFormats="0" applyWidthHeightFormats="0"/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11b_tier_composition" connectionId="5" xr16:uid="{E51E56E1-9451-9343-9FD1-7D71C74C65CF}" autoFormatId="16" applyNumberFormats="0" applyBorderFormats="0" applyFontFormats="1" applyPatternFormats="1" applyAlignmentFormats="0" applyWidthHeightFormats="0"/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11a_online_vs_dinein" connectionId="4" xr16:uid="{26534A9B-1D5E-D54A-AE49-EE469859BB97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EC4DA66-D806-8745-8D5F-508DB2F059A2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d216e596-32f1-49a3-b2b7-bba187c25ae0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2.xml"/><Relationship Id="rId4" Type="http://schemas.openxmlformats.org/officeDocument/2006/relationships/queryTable" Target="../queryTables/query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5.xml"/><Relationship Id="rId2" Type="http://schemas.openxmlformats.org/officeDocument/2006/relationships/queryTable" Target="../queryTables/queryTable4.xml"/><Relationship Id="rId1" Type="http://schemas.openxmlformats.org/officeDocument/2006/relationships/drawing" Target="../drawings/drawing3.xml"/><Relationship Id="rId4" Type="http://schemas.openxmlformats.org/officeDocument/2006/relationships/queryTable" Target="../queryTables/queryTable6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8.xml"/><Relationship Id="rId2" Type="http://schemas.openxmlformats.org/officeDocument/2006/relationships/queryTable" Target="../queryTables/queryTable7.xml"/><Relationship Id="rId1" Type="http://schemas.openxmlformats.org/officeDocument/2006/relationships/drawing" Target="../drawings/drawing4.xml"/><Relationship Id="rId5" Type="http://schemas.openxmlformats.org/officeDocument/2006/relationships/queryTable" Target="../queryTables/queryTable10.xml"/><Relationship Id="rId4" Type="http://schemas.openxmlformats.org/officeDocument/2006/relationships/queryTable" Target="../queryTables/queryTable9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3.xml"/><Relationship Id="rId2" Type="http://schemas.openxmlformats.org/officeDocument/2006/relationships/queryTable" Target="../queryTables/queryTable12.xml"/><Relationship Id="rId1" Type="http://schemas.openxmlformats.org/officeDocument/2006/relationships/queryTable" Target="../queryTables/queryTable1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5.xml"/><Relationship Id="rId2" Type="http://schemas.openxmlformats.org/officeDocument/2006/relationships/queryTable" Target="../queryTables/queryTable14.xml"/><Relationship Id="rId1" Type="http://schemas.openxmlformats.org/officeDocument/2006/relationships/drawing" Target="../drawings/drawing5.xml"/><Relationship Id="rId5" Type="http://schemas.openxmlformats.org/officeDocument/2006/relationships/queryTable" Target="../queryTables/queryTable17.xml"/><Relationship Id="rId4" Type="http://schemas.openxmlformats.org/officeDocument/2006/relationships/queryTable" Target="../queryTables/query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92393-22D9-A042-88D3-EFF44656F5EC}">
  <dimension ref="A1:AZ18"/>
  <sheetViews>
    <sheetView zoomScale="110" zoomScaleNormal="110" workbookViewId="0">
      <selection activeCell="O8" sqref="O8"/>
    </sheetView>
  </sheetViews>
  <sheetFormatPr baseColWidth="10" defaultRowHeight="16" x14ac:dyDescent="0.2"/>
  <cols>
    <col min="5" max="5" width="10.83203125" customWidth="1"/>
  </cols>
  <sheetData>
    <row r="1" spans="1:52" ht="27" x14ac:dyDescent="0.35">
      <c r="A1" s="23" t="s">
        <v>213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</row>
    <row r="5" spans="1:52" ht="19" x14ac:dyDescent="0.25">
      <c r="A5" s="101" t="s">
        <v>43</v>
      </c>
      <c r="B5" s="101"/>
      <c r="C5" s="101"/>
      <c r="D5" s="101" t="s">
        <v>246</v>
      </c>
      <c r="E5" s="101"/>
      <c r="F5" s="101"/>
      <c r="G5" s="101" t="s">
        <v>247</v>
      </c>
      <c r="H5" s="101"/>
      <c r="I5" s="101"/>
      <c r="J5" s="101" t="s">
        <v>248</v>
      </c>
      <c r="K5" s="101"/>
    </row>
    <row r="6" spans="1:52" ht="63" x14ac:dyDescent="0.75">
      <c r="A6" s="103">
        <v>12037</v>
      </c>
      <c r="B6" s="103"/>
      <c r="C6" s="103"/>
      <c r="D6" s="103">
        <v>3.63</v>
      </c>
      <c r="E6" s="103"/>
      <c r="F6" s="103"/>
      <c r="G6" s="104">
        <v>490</v>
      </c>
      <c r="H6" s="104"/>
      <c r="I6" s="104"/>
      <c r="J6" s="103">
        <v>93</v>
      </c>
      <c r="K6" s="103"/>
    </row>
    <row r="7" spans="1:5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52" ht="19" x14ac:dyDescent="0.25">
      <c r="A8" s="101" t="s">
        <v>168</v>
      </c>
      <c r="B8" s="101"/>
      <c r="C8" s="101"/>
      <c r="D8" s="101" t="s">
        <v>249</v>
      </c>
      <c r="E8" s="101"/>
      <c r="F8" s="101" t="s">
        <v>250</v>
      </c>
      <c r="G8" s="101"/>
      <c r="H8" s="101"/>
      <c r="I8" s="101" t="s">
        <v>251</v>
      </c>
      <c r="J8" s="101"/>
      <c r="K8" s="101"/>
    </row>
    <row r="9" spans="1:52" ht="47" x14ac:dyDescent="0.55000000000000004">
      <c r="A9" s="105">
        <v>0.52800000000000002</v>
      </c>
      <c r="B9" s="102"/>
      <c r="C9" s="102"/>
      <c r="D9" s="105">
        <v>7.8E-2</v>
      </c>
      <c r="E9" s="102"/>
      <c r="F9" s="102">
        <v>87</v>
      </c>
      <c r="G9" s="102"/>
      <c r="H9" s="102"/>
      <c r="I9" s="105">
        <v>0.23899999999999999</v>
      </c>
      <c r="J9" s="102"/>
      <c r="K9" s="102"/>
    </row>
    <row r="11" spans="1:52" ht="24" x14ac:dyDescent="0.3">
      <c r="A11" s="96" t="s">
        <v>252</v>
      </c>
      <c r="B11" s="96"/>
      <c r="C11" s="96"/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6"/>
    </row>
    <row r="13" spans="1:52" ht="22" x14ac:dyDescent="0.3">
      <c r="A13" s="97" t="s">
        <v>253</v>
      </c>
      <c r="B13" s="97"/>
      <c r="C13" s="97" t="s">
        <v>254</v>
      </c>
      <c r="D13" s="97"/>
      <c r="E13" s="97"/>
      <c r="F13" s="97"/>
      <c r="G13" s="97"/>
      <c r="H13" s="97"/>
      <c r="I13" s="97"/>
      <c r="J13" s="97" t="s">
        <v>255</v>
      </c>
      <c r="K13" s="97"/>
      <c r="L13" s="97"/>
      <c r="M13" s="97"/>
      <c r="N13" s="98" t="s">
        <v>256</v>
      </c>
    </row>
    <row r="14" spans="1:52" ht="19" x14ac:dyDescent="0.25">
      <c r="A14" s="99" t="s">
        <v>257</v>
      </c>
      <c r="B14" s="99"/>
      <c r="C14" s="106" t="s">
        <v>261</v>
      </c>
      <c r="D14" s="106"/>
      <c r="E14" s="106"/>
      <c r="F14" s="106"/>
      <c r="G14" s="106"/>
      <c r="H14" s="106"/>
      <c r="I14" s="106"/>
      <c r="J14" s="106" t="s">
        <v>262</v>
      </c>
      <c r="K14" s="106"/>
      <c r="L14" s="106"/>
      <c r="M14" s="106"/>
      <c r="N14" s="107" t="s">
        <v>263</v>
      </c>
    </row>
    <row r="15" spans="1:52" ht="19" x14ac:dyDescent="0.25">
      <c r="A15" s="100" t="s">
        <v>33</v>
      </c>
      <c r="B15" s="100"/>
      <c r="C15" s="108" t="s">
        <v>264</v>
      </c>
      <c r="D15" s="108"/>
      <c r="E15" s="108"/>
      <c r="F15" s="108"/>
      <c r="G15" s="108"/>
      <c r="H15" s="108"/>
      <c r="I15" s="108"/>
      <c r="J15" s="108" t="s">
        <v>265</v>
      </c>
      <c r="K15" s="108"/>
      <c r="L15" s="108"/>
      <c r="M15" s="108"/>
      <c r="N15" s="109" t="s">
        <v>266</v>
      </c>
    </row>
    <row r="16" spans="1:52" ht="19" x14ac:dyDescent="0.25">
      <c r="A16" s="99" t="s">
        <v>258</v>
      </c>
      <c r="B16" s="99"/>
      <c r="C16" s="106" t="s">
        <v>267</v>
      </c>
      <c r="D16" s="106"/>
      <c r="E16" s="106"/>
      <c r="F16" s="106"/>
      <c r="G16" s="106"/>
      <c r="H16" s="106"/>
      <c r="I16" s="106"/>
      <c r="J16" s="106" t="s">
        <v>270</v>
      </c>
      <c r="K16" s="106"/>
      <c r="L16" s="106"/>
      <c r="M16" s="106"/>
      <c r="N16" s="107" t="s">
        <v>272</v>
      </c>
    </row>
    <row r="17" spans="1:14" ht="19" x14ac:dyDescent="0.25">
      <c r="A17" s="100" t="s">
        <v>259</v>
      </c>
      <c r="B17" s="100"/>
      <c r="C17" s="108" t="s">
        <v>268</v>
      </c>
      <c r="D17" s="108"/>
      <c r="E17" s="108"/>
      <c r="F17" s="108"/>
      <c r="G17" s="108"/>
      <c r="H17" s="108"/>
      <c r="I17" s="108"/>
      <c r="J17" s="108" t="s">
        <v>271</v>
      </c>
      <c r="K17" s="108"/>
      <c r="L17" s="108"/>
      <c r="M17" s="108"/>
      <c r="N17" s="109" t="s">
        <v>273</v>
      </c>
    </row>
    <row r="18" spans="1:14" ht="19" x14ac:dyDescent="0.25">
      <c r="A18" s="99" t="s">
        <v>260</v>
      </c>
      <c r="B18" s="99"/>
      <c r="C18" s="106" t="s">
        <v>269</v>
      </c>
      <c r="D18" s="106"/>
      <c r="E18" s="106"/>
      <c r="F18" s="106"/>
      <c r="G18" s="106"/>
      <c r="H18" s="106"/>
      <c r="I18" s="106"/>
      <c r="J18" s="106" t="s">
        <v>275</v>
      </c>
      <c r="K18" s="106"/>
      <c r="L18" s="106"/>
      <c r="M18" s="106"/>
      <c r="N18" s="107" t="s">
        <v>274</v>
      </c>
    </row>
  </sheetData>
  <mergeCells count="36">
    <mergeCell ref="J14:M14"/>
    <mergeCell ref="J13:M13"/>
    <mergeCell ref="J15:M15"/>
    <mergeCell ref="J17:M17"/>
    <mergeCell ref="J18:M18"/>
    <mergeCell ref="A11:N11"/>
    <mergeCell ref="C18:I18"/>
    <mergeCell ref="C16:I16"/>
    <mergeCell ref="C17:I17"/>
    <mergeCell ref="C15:I15"/>
    <mergeCell ref="J16:M16"/>
    <mergeCell ref="A14:B14"/>
    <mergeCell ref="A15:B15"/>
    <mergeCell ref="A16:B16"/>
    <mergeCell ref="A17:B17"/>
    <mergeCell ref="A18:B18"/>
    <mergeCell ref="C14:I14"/>
    <mergeCell ref="A9:C9"/>
    <mergeCell ref="D9:E9"/>
    <mergeCell ref="F9:H9"/>
    <mergeCell ref="I9:K9"/>
    <mergeCell ref="A13:B13"/>
    <mergeCell ref="C13:I13"/>
    <mergeCell ref="A8:C8"/>
    <mergeCell ref="D8:E8"/>
    <mergeCell ref="F8:H8"/>
    <mergeCell ref="I8:K8"/>
    <mergeCell ref="A1:AZ1"/>
    <mergeCell ref="A5:C5"/>
    <mergeCell ref="D5:F5"/>
    <mergeCell ref="G5:I5"/>
    <mergeCell ref="J5:K5"/>
    <mergeCell ref="A6:C6"/>
    <mergeCell ref="D6:F6"/>
    <mergeCell ref="G6:I6"/>
    <mergeCell ref="J6:K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AE9C6-E561-A847-921C-12823F9750DA}">
  <dimension ref="A1:BB13"/>
  <sheetViews>
    <sheetView topLeftCell="V1" zoomScale="106" workbookViewId="0">
      <pane ySplit="3" topLeftCell="A4" activePane="bottomLeft" state="frozen"/>
      <selection pane="bottomLeft" activeCell="BB17" sqref="BB17"/>
    </sheetView>
  </sheetViews>
  <sheetFormatPr baseColWidth="10" defaultRowHeight="16" x14ac:dyDescent="0.2"/>
  <cols>
    <col min="1" max="1" width="26.1640625" bestFit="1" customWidth="1"/>
    <col min="2" max="2" width="20" bestFit="1" customWidth="1"/>
    <col min="3" max="3" width="16.83203125" bestFit="1" customWidth="1"/>
    <col min="4" max="4" width="17.1640625" bestFit="1" customWidth="1"/>
    <col min="5" max="5" width="5.6640625" bestFit="1" customWidth="1"/>
    <col min="6" max="6" width="7.1640625" bestFit="1" customWidth="1"/>
    <col min="7" max="7" width="13.83203125" bestFit="1" customWidth="1"/>
    <col min="8" max="8" width="15.5" bestFit="1" customWidth="1"/>
    <col min="9" max="9" width="13.83203125" bestFit="1" customWidth="1"/>
    <col min="10" max="10" width="11.83203125" bestFit="1" customWidth="1"/>
    <col min="11" max="11" width="18" bestFit="1" customWidth="1"/>
    <col min="12" max="12" width="10.83203125" style="48"/>
    <col min="14" max="14" width="15.5" bestFit="1" customWidth="1"/>
    <col min="15" max="15" width="18.5" bestFit="1" customWidth="1"/>
    <col min="16" max="16" width="9.6640625" bestFit="1" customWidth="1"/>
    <col min="17" max="17" width="17" bestFit="1" customWidth="1"/>
    <col min="18" max="18" width="14" bestFit="1" customWidth="1"/>
    <col min="19" max="19" width="13" bestFit="1" customWidth="1"/>
    <col min="20" max="20" width="10" bestFit="1" customWidth="1"/>
    <col min="21" max="21" width="15.5" bestFit="1" customWidth="1"/>
    <col min="22" max="22" width="12.6640625" bestFit="1" customWidth="1"/>
    <col min="23" max="23" width="12.33203125" bestFit="1" customWidth="1"/>
    <col min="24" max="24" width="9.33203125" bestFit="1" customWidth="1"/>
    <col min="25" max="25" width="15.5" bestFit="1" customWidth="1"/>
    <col min="26" max="26" width="12.6640625" bestFit="1" customWidth="1"/>
    <col min="27" max="27" width="18.1640625" bestFit="1" customWidth="1"/>
    <col min="28" max="28" width="13" bestFit="1" customWidth="1"/>
    <col min="29" max="29" width="13.83203125" bestFit="1" customWidth="1"/>
    <col min="30" max="30" width="15.5" bestFit="1" customWidth="1"/>
    <col min="31" max="31" width="12.83203125" bestFit="1" customWidth="1"/>
    <col min="32" max="32" width="10.83203125" style="48"/>
    <col min="34" max="34" width="19.1640625" bestFit="1" customWidth="1"/>
    <col min="35" max="35" width="18.5" bestFit="1" customWidth="1"/>
    <col min="36" max="36" width="10.6640625" bestFit="1" customWidth="1"/>
    <col min="37" max="37" width="11.33203125" bestFit="1" customWidth="1"/>
    <col min="38" max="38" width="15.5" bestFit="1" customWidth="1"/>
    <col min="39" max="39" width="12.6640625" bestFit="1" customWidth="1"/>
    <col min="40" max="40" width="18.1640625" bestFit="1" customWidth="1"/>
    <col min="41" max="41" width="11.5" bestFit="1" customWidth="1"/>
    <col min="42" max="42" width="11.83203125" bestFit="1" customWidth="1"/>
    <col min="44" max="44" width="15.5" bestFit="1" customWidth="1"/>
    <col min="45" max="45" width="18.1640625" bestFit="1" customWidth="1"/>
    <col min="54" max="54" width="10.83203125" style="48"/>
  </cols>
  <sheetData>
    <row r="1" spans="1:45" ht="19" x14ac:dyDescent="0.25">
      <c r="A1" s="2" t="s">
        <v>29</v>
      </c>
      <c r="B1" s="2"/>
      <c r="C1" s="2"/>
      <c r="D1" s="2"/>
      <c r="E1" s="2"/>
      <c r="F1" s="2"/>
      <c r="G1" s="2"/>
      <c r="H1" s="2"/>
      <c r="I1" s="2"/>
      <c r="J1" s="2"/>
      <c r="K1" s="2"/>
      <c r="N1" s="2" t="s">
        <v>30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H1" s="2" t="s">
        <v>31</v>
      </c>
      <c r="AI1" s="2"/>
      <c r="AJ1" s="2"/>
      <c r="AK1" s="2"/>
      <c r="AL1" s="2"/>
      <c r="AM1" s="2"/>
      <c r="AN1" s="2"/>
      <c r="AO1" s="2"/>
      <c r="AP1" s="2"/>
    </row>
    <row r="2" spans="1:45" x14ac:dyDescent="0.2">
      <c r="AB2" s="33"/>
      <c r="AC2" s="33"/>
      <c r="AD2" s="33"/>
      <c r="AE2" s="33"/>
      <c r="AR2" s="13"/>
      <c r="AS2" s="13"/>
    </row>
    <row r="3" spans="1:45" ht="19" x14ac:dyDescent="0.25">
      <c r="A3" s="4" t="s">
        <v>32</v>
      </c>
      <c r="B3" s="5" t="s">
        <v>33</v>
      </c>
      <c r="C3" s="5" t="s">
        <v>34</v>
      </c>
      <c r="D3" s="5" t="s">
        <v>35</v>
      </c>
      <c r="E3" s="5" t="s">
        <v>36</v>
      </c>
      <c r="F3" s="5" t="s">
        <v>37</v>
      </c>
      <c r="G3" s="5" t="s">
        <v>38</v>
      </c>
      <c r="H3" s="5" t="s">
        <v>39</v>
      </c>
      <c r="I3" s="5" t="s">
        <v>40</v>
      </c>
      <c r="J3" s="5" t="s">
        <v>41</v>
      </c>
      <c r="K3" s="6" t="s">
        <v>42</v>
      </c>
      <c r="N3" s="4" t="s">
        <v>39</v>
      </c>
      <c r="O3" s="5" t="s">
        <v>43</v>
      </c>
      <c r="P3" s="5" t="s">
        <v>44</v>
      </c>
      <c r="Q3" s="5" t="s">
        <v>45</v>
      </c>
      <c r="R3" s="5" t="s">
        <v>46</v>
      </c>
      <c r="S3" s="5" t="s">
        <v>47</v>
      </c>
      <c r="T3" s="5" t="s">
        <v>48</v>
      </c>
      <c r="U3" s="5" t="s">
        <v>49</v>
      </c>
      <c r="V3" s="5" t="s">
        <v>50</v>
      </c>
      <c r="W3" s="5" t="s">
        <v>51</v>
      </c>
      <c r="X3" s="5" t="s">
        <v>52</v>
      </c>
      <c r="Y3" s="5" t="s">
        <v>53</v>
      </c>
      <c r="Z3" s="5" t="s">
        <v>54</v>
      </c>
      <c r="AA3" s="5" t="s">
        <v>55</v>
      </c>
      <c r="AB3" s="24" t="s">
        <v>214</v>
      </c>
      <c r="AC3" s="24" t="s">
        <v>215</v>
      </c>
      <c r="AD3" s="24" t="s">
        <v>216</v>
      </c>
      <c r="AE3" s="32" t="s">
        <v>217</v>
      </c>
      <c r="AH3" s="4" t="s">
        <v>56</v>
      </c>
      <c r="AI3" s="5" t="s">
        <v>43</v>
      </c>
      <c r="AJ3" s="5" t="s">
        <v>57</v>
      </c>
      <c r="AK3" s="5" t="s">
        <v>58</v>
      </c>
      <c r="AL3" s="5" t="s">
        <v>53</v>
      </c>
      <c r="AM3" s="5" t="s">
        <v>54</v>
      </c>
      <c r="AN3" s="5" t="s">
        <v>55</v>
      </c>
      <c r="AO3" s="5" t="s">
        <v>59</v>
      </c>
      <c r="AP3" s="6" t="s">
        <v>60</v>
      </c>
      <c r="AR3" s="42" t="s">
        <v>39</v>
      </c>
      <c r="AS3" s="43" t="s">
        <v>55</v>
      </c>
    </row>
    <row r="4" spans="1:45" x14ac:dyDescent="0.2">
      <c r="A4" s="7" t="s">
        <v>0</v>
      </c>
      <c r="B4" s="8" t="s">
        <v>1</v>
      </c>
      <c r="C4" s="8" t="s">
        <v>2</v>
      </c>
      <c r="D4" s="8" t="s">
        <v>3</v>
      </c>
      <c r="E4" s="49">
        <v>4.9000000000000004</v>
      </c>
      <c r="F4" s="36">
        <v>16832</v>
      </c>
      <c r="G4" s="51">
        <v>1600</v>
      </c>
      <c r="H4" s="8" t="s">
        <v>4</v>
      </c>
      <c r="I4" s="8">
        <v>1</v>
      </c>
      <c r="J4" s="8">
        <v>1</v>
      </c>
      <c r="K4" s="9">
        <v>20.71</v>
      </c>
      <c r="N4" s="7" t="s">
        <v>27</v>
      </c>
      <c r="O4" s="36">
        <v>7114</v>
      </c>
      <c r="P4" s="8">
        <v>3.55</v>
      </c>
      <c r="Q4" s="36">
        <v>373</v>
      </c>
      <c r="R4" s="34">
        <v>5.2</v>
      </c>
      <c r="S4" s="36">
        <v>2551</v>
      </c>
      <c r="T4" s="34">
        <v>35.9</v>
      </c>
      <c r="U4" s="36">
        <v>1672</v>
      </c>
      <c r="V4" s="34">
        <v>23.5</v>
      </c>
      <c r="W4" s="36">
        <v>245</v>
      </c>
      <c r="X4" s="34">
        <v>3.4</v>
      </c>
      <c r="Y4" s="36">
        <v>2273</v>
      </c>
      <c r="Z4" s="34">
        <v>32</v>
      </c>
      <c r="AA4" s="34">
        <v>60.4</v>
      </c>
      <c r="AB4" s="25">
        <v>0</v>
      </c>
      <c r="AC4" s="25">
        <v>0</v>
      </c>
      <c r="AD4" s="26" t="str">
        <f>IF(N4="Budget","Baseline tier",IF(N4="Mid-range","Marginal - avoid","Justified - worth it"))</f>
        <v>Baseline tier</v>
      </c>
      <c r="AE4" s="30" t="str">
        <f>IF(AA4&gt;=85,"Strong signal",IF(AA4&gt;=70,"Moderate signal",IF(AA4&gt;=60,"Weak signal","No signal")))</f>
        <v>Weak signal</v>
      </c>
      <c r="AH4" s="7" t="s">
        <v>61</v>
      </c>
      <c r="AI4" s="36">
        <v>4400</v>
      </c>
      <c r="AJ4" s="36">
        <v>2</v>
      </c>
      <c r="AK4" s="49">
        <v>3.31</v>
      </c>
      <c r="AL4" s="36">
        <v>2863</v>
      </c>
      <c r="AM4" s="34">
        <v>65.099999999999994</v>
      </c>
      <c r="AN4" s="34">
        <v>14.9</v>
      </c>
      <c r="AO4" s="49">
        <v>2.7</v>
      </c>
      <c r="AP4" s="53">
        <v>3.9</v>
      </c>
      <c r="AR4" s="44" t="str">
        <f>N4</f>
        <v>Budget</v>
      </c>
      <c r="AS4" s="46">
        <f>AA4</f>
        <v>60.4</v>
      </c>
    </row>
    <row r="5" spans="1:45" x14ac:dyDescent="0.2">
      <c r="A5" s="7" t="s">
        <v>5</v>
      </c>
      <c r="B5" s="8" t="s">
        <v>6</v>
      </c>
      <c r="C5" s="8" t="s">
        <v>7</v>
      </c>
      <c r="D5" s="8" t="s">
        <v>3</v>
      </c>
      <c r="E5" s="49">
        <v>4.7</v>
      </c>
      <c r="F5" s="36">
        <v>14956</v>
      </c>
      <c r="G5" s="51">
        <v>1500</v>
      </c>
      <c r="H5" s="8" t="s">
        <v>4</v>
      </c>
      <c r="I5" s="8">
        <v>0</v>
      </c>
      <c r="J5" s="8">
        <v>0</v>
      </c>
      <c r="K5" s="9">
        <v>19.62</v>
      </c>
      <c r="N5" s="7" t="s">
        <v>28</v>
      </c>
      <c r="O5" s="36">
        <v>3708</v>
      </c>
      <c r="P5" s="8">
        <v>3.62</v>
      </c>
      <c r="Q5" s="36">
        <v>501</v>
      </c>
      <c r="R5" s="34">
        <v>13.5</v>
      </c>
      <c r="S5" s="36">
        <v>1681</v>
      </c>
      <c r="T5" s="34">
        <v>45.3</v>
      </c>
      <c r="U5" s="36">
        <v>684</v>
      </c>
      <c r="V5" s="34">
        <v>18.399999999999999</v>
      </c>
      <c r="W5" s="36">
        <v>295</v>
      </c>
      <c r="X5" s="34">
        <v>8</v>
      </c>
      <c r="Y5" s="36">
        <v>547</v>
      </c>
      <c r="Z5" s="34">
        <v>14.8</v>
      </c>
      <c r="AA5" s="34">
        <v>69</v>
      </c>
      <c r="AB5" s="26">
        <f>P5-P4</f>
        <v>7.0000000000000284E-2</v>
      </c>
      <c r="AC5" s="26">
        <f>AA5-AA4</f>
        <v>8.6000000000000014</v>
      </c>
      <c r="AD5" s="26" t="str">
        <f>IF(N5="Budget","Baseline tier",IF(N5="Mid-range","Marginal - avoid","Justified - worth it"))</f>
        <v>Marginal - avoid</v>
      </c>
      <c r="AE5" s="30" t="str">
        <f>IF(AA5&gt;=85,"Strong signal",IF(AA5&gt;=70,"Moderate signal",IF(AA5&gt;=60,"Weak signal","No signal")))</f>
        <v>Weak signal</v>
      </c>
      <c r="AH5" s="7" t="s">
        <v>62</v>
      </c>
      <c r="AI5" s="36">
        <v>4219</v>
      </c>
      <c r="AJ5" s="36">
        <v>40</v>
      </c>
      <c r="AK5" s="49">
        <v>3.53</v>
      </c>
      <c r="AL5" s="36">
        <v>2</v>
      </c>
      <c r="AM5" s="34">
        <v>0</v>
      </c>
      <c r="AN5" s="34">
        <v>69</v>
      </c>
      <c r="AO5" s="49">
        <v>2.2000000000000002</v>
      </c>
      <c r="AP5" s="53">
        <v>4.5</v>
      </c>
      <c r="AR5" s="44" t="str">
        <f>N5</f>
        <v>Mid-range</v>
      </c>
      <c r="AS5" s="46">
        <f t="shared" ref="AS5:AS6" si="0">AA5</f>
        <v>69</v>
      </c>
    </row>
    <row r="6" spans="1:45" x14ac:dyDescent="0.2">
      <c r="A6" s="7" t="s">
        <v>8</v>
      </c>
      <c r="B6" s="8" t="s">
        <v>9</v>
      </c>
      <c r="C6" s="8" t="s">
        <v>10</v>
      </c>
      <c r="D6" s="8" t="s">
        <v>11</v>
      </c>
      <c r="E6" s="49">
        <v>4.8</v>
      </c>
      <c r="F6" s="36">
        <v>12121</v>
      </c>
      <c r="G6" s="51">
        <v>1600</v>
      </c>
      <c r="H6" s="8" t="s">
        <v>4</v>
      </c>
      <c r="I6" s="8">
        <v>0</v>
      </c>
      <c r="J6" s="8">
        <v>1</v>
      </c>
      <c r="K6" s="9">
        <v>19.600000000000001</v>
      </c>
      <c r="N6" s="10" t="s">
        <v>4</v>
      </c>
      <c r="O6" s="37">
        <v>1215</v>
      </c>
      <c r="P6" s="11">
        <v>3.99</v>
      </c>
      <c r="Q6" s="37">
        <v>597</v>
      </c>
      <c r="R6" s="35">
        <v>49.1</v>
      </c>
      <c r="S6" s="37">
        <v>430</v>
      </c>
      <c r="T6" s="35">
        <v>35.4</v>
      </c>
      <c r="U6" s="37">
        <v>91</v>
      </c>
      <c r="V6" s="35">
        <v>7.5</v>
      </c>
      <c r="W6" s="37">
        <v>38</v>
      </c>
      <c r="X6" s="35">
        <v>3.1</v>
      </c>
      <c r="Y6" s="37">
        <v>59</v>
      </c>
      <c r="Z6" s="35">
        <v>4.9000000000000004</v>
      </c>
      <c r="AA6" s="35">
        <v>88.8</v>
      </c>
      <c r="AB6" s="28">
        <f>P6-P5</f>
        <v>0.37000000000000011</v>
      </c>
      <c r="AC6" s="28">
        <f>AA6-AA5</f>
        <v>19.799999999999997</v>
      </c>
      <c r="AD6" s="28" t="str">
        <f>IF(N6="Budget","Baseline tier",IF(N6="Mid-range","Marginal - avoid","Justified - worth it"))</f>
        <v>Justified - worth it</v>
      </c>
      <c r="AE6" s="31" t="str">
        <f>IF(AA6&gt;=85,"Strong signal",IF(AA6&gt;=70,"Moderate signal",IF(AA6&gt;=60,"Weak signal","No signal")))</f>
        <v>Strong signal</v>
      </c>
      <c r="AH6" s="7" t="s">
        <v>63</v>
      </c>
      <c r="AI6" s="36">
        <v>2372</v>
      </c>
      <c r="AJ6" s="36">
        <v>231</v>
      </c>
      <c r="AK6" s="49">
        <v>3.8</v>
      </c>
      <c r="AL6" s="36">
        <v>9</v>
      </c>
      <c r="AM6" s="34">
        <v>0.4</v>
      </c>
      <c r="AN6" s="34">
        <v>84</v>
      </c>
      <c r="AO6" s="49">
        <v>1.8</v>
      </c>
      <c r="AP6" s="53">
        <v>4.9000000000000004</v>
      </c>
      <c r="AR6" s="45" t="str">
        <f>N6</f>
        <v>Premium</v>
      </c>
      <c r="AS6" s="47">
        <f t="shared" si="0"/>
        <v>88.8</v>
      </c>
    </row>
    <row r="7" spans="1:45" x14ac:dyDescent="0.2">
      <c r="A7" s="7" t="s">
        <v>12</v>
      </c>
      <c r="B7" s="8" t="s">
        <v>13</v>
      </c>
      <c r="C7" s="8" t="s">
        <v>14</v>
      </c>
      <c r="D7" s="8" t="s">
        <v>15</v>
      </c>
      <c r="E7" s="49">
        <v>4.7</v>
      </c>
      <c r="F7" s="36">
        <v>14726</v>
      </c>
      <c r="G7" s="51">
        <v>900</v>
      </c>
      <c r="H7" s="8" t="s">
        <v>4</v>
      </c>
      <c r="I7" s="8">
        <v>0</v>
      </c>
      <c r="J7" s="8">
        <v>0</v>
      </c>
      <c r="K7" s="9">
        <v>19.59</v>
      </c>
      <c r="AH7" s="7" t="s">
        <v>64</v>
      </c>
      <c r="AI7" s="36">
        <v>565</v>
      </c>
      <c r="AJ7" s="36">
        <v>696</v>
      </c>
      <c r="AK7" s="49">
        <v>4.05</v>
      </c>
      <c r="AL7" s="36">
        <v>0</v>
      </c>
      <c r="AM7" s="34">
        <v>0</v>
      </c>
      <c r="AN7" s="34">
        <v>95.2</v>
      </c>
      <c r="AO7" s="49">
        <v>2.5</v>
      </c>
      <c r="AP7" s="53">
        <v>4.8</v>
      </c>
    </row>
    <row r="8" spans="1:45" x14ac:dyDescent="0.2">
      <c r="A8" s="7" t="s">
        <v>16</v>
      </c>
      <c r="B8" s="8" t="s">
        <v>13</v>
      </c>
      <c r="C8" s="8" t="s">
        <v>17</v>
      </c>
      <c r="D8" s="8" t="s">
        <v>18</v>
      </c>
      <c r="E8" s="49">
        <v>4.7</v>
      </c>
      <c r="F8" s="36">
        <v>10550</v>
      </c>
      <c r="G8" s="51">
        <v>1400</v>
      </c>
      <c r="H8" s="8" t="s">
        <v>4</v>
      </c>
      <c r="I8" s="8">
        <v>0</v>
      </c>
      <c r="J8" s="8">
        <v>1</v>
      </c>
      <c r="K8" s="9">
        <v>18.91</v>
      </c>
      <c r="AH8" s="7" t="s">
        <v>65</v>
      </c>
      <c r="AI8" s="36">
        <v>450</v>
      </c>
      <c r="AJ8" s="36">
        <v>1998</v>
      </c>
      <c r="AK8" s="49">
        <v>4.25</v>
      </c>
      <c r="AL8" s="36">
        <v>5</v>
      </c>
      <c r="AM8" s="34">
        <v>1.1000000000000001</v>
      </c>
      <c r="AN8" s="34">
        <v>99.6</v>
      </c>
      <c r="AO8" s="49">
        <v>2.8</v>
      </c>
      <c r="AP8" s="53">
        <v>4.9000000000000004</v>
      </c>
    </row>
    <row r="9" spans="1:45" x14ac:dyDescent="0.2">
      <c r="A9" s="7" t="s">
        <v>8</v>
      </c>
      <c r="B9" s="8" t="s">
        <v>19</v>
      </c>
      <c r="C9" s="8" t="s">
        <v>10</v>
      </c>
      <c r="D9" s="8" t="s">
        <v>11</v>
      </c>
      <c r="E9" s="49">
        <v>4.9000000000000004</v>
      </c>
      <c r="F9" s="36">
        <v>6490</v>
      </c>
      <c r="G9" s="51">
        <v>1600</v>
      </c>
      <c r="H9" s="8" t="s">
        <v>4</v>
      </c>
      <c r="I9" s="8">
        <v>0</v>
      </c>
      <c r="J9" s="8">
        <v>1</v>
      </c>
      <c r="K9" s="9">
        <v>18.68</v>
      </c>
      <c r="AH9" s="10" t="s">
        <v>66</v>
      </c>
      <c r="AI9" s="37">
        <v>31</v>
      </c>
      <c r="AJ9" s="37">
        <v>8010</v>
      </c>
      <c r="AK9" s="50">
        <v>4.55</v>
      </c>
      <c r="AL9" s="37">
        <v>0</v>
      </c>
      <c r="AM9" s="35">
        <v>0</v>
      </c>
      <c r="AN9" s="35">
        <v>100</v>
      </c>
      <c r="AO9" s="50">
        <v>4.0999999999999996</v>
      </c>
      <c r="AP9" s="54">
        <v>4.9000000000000004</v>
      </c>
    </row>
    <row r="10" spans="1:45" x14ac:dyDescent="0.2">
      <c r="A10" s="7" t="s">
        <v>16</v>
      </c>
      <c r="B10" s="8" t="s">
        <v>9</v>
      </c>
      <c r="C10" s="8" t="s">
        <v>17</v>
      </c>
      <c r="D10" s="8" t="s">
        <v>18</v>
      </c>
      <c r="E10" s="49">
        <v>4.8</v>
      </c>
      <c r="F10" s="36">
        <v>7284</v>
      </c>
      <c r="G10" s="51">
        <v>1500</v>
      </c>
      <c r="H10" s="8" t="s">
        <v>4</v>
      </c>
      <c r="I10" s="8">
        <v>0</v>
      </c>
      <c r="J10" s="8">
        <v>1</v>
      </c>
      <c r="K10" s="9">
        <v>18.54</v>
      </c>
    </row>
    <row r="11" spans="1:45" x14ac:dyDescent="0.2">
      <c r="A11" s="7" t="s">
        <v>20</v>
      </c>
      <c r="B11" s="8" t="s">
        <v>21</v>
      </c>
      <c r="C11" s="8" t="s">
        <v>22</v>
      </c>
      <c r="D11" s="8" t="s">
        <v>18</v>
      </c>
      <c r="E11" s="49">
        <v>4.8</v>
      </c>
      <c r="F11" s="36">
        <v>6470</v>
      </c>
      <c r="G11" s="51">
        <v>1400</v>
      </c>
      <c r="H11" s="8" t="s">
        <v>4</v>
      </c>
      <c r="I11" s="8">
        <v>1</v>
      </c>
      <c r="J11" s="8">
        <v>1</v>
      </c>
      <c r="K11" s="9">
        <v>18.29</v>
      </c>
    </row>
    <row r="12" spans="1:45" x14ac:dyDescent="0.2">
      <c r="A12" s="7" t="s">
        <v>23</v>
      </c>
      <c r="B12" s="8" t="s">
        <v>24</v>
      </c>
      <c r="C12" s="8" t="s">
        <v>22</v>
      </c>
      <c r="D12" s="8" t="s">
        <v>25</v>
      </c>
      <c r="E12" s="49">
        <v>4.5999999999999996</v>
      </c>
      <c r="F12" s="36">
        <v>9300</v>
      </c>
      <c r="G12" s="51">
        <v>1800</v>
      </c>
      <c r="H12" s="8" t="s">
        <v>4</v>
      </c>
      <c r="I12" s="8">
        <v>0</v>
      </c>
      <c r="J12" s="8">
        <v>1</v>
      </c>
      <c r="K12" s="9">
        <v>18.260000000000002</v>
      </c>
    </row>
    <row r="13" spans="1:45" x14ac:dyDescent="0.2">
      <c r="A13" s="10" t="s">
        <v>26</v>
      </c>
      <c r="B13" s="11" t="s">
        <v>6</v>
      </c>
      <c r="C13" s="11" t="s">
        <v>17</v>
      </c>
      <c r="D13" s="11" t="s">
        <v>11</v>
      </c>
      <c r="E13" s="50">
        <v>4.7</v>
      </c>
      <c r="F13" s="37">
        <v>7270</v>
      </c>
      <c r="G13" s="52">
        <v>1600</v>
      </c>
      <c r="H13" s="11" t="s">
        <v>4</v>
      </c>
      <c r="I13" s="11">
        <v>0</v>
      </c>
      <c r="J13" s="11">
        <v>1</v>
      </c>
      <c r="K13" s="12">
        <v>18.149999999999999</v>
      </c>
    </row>
  </sheetData>
  <mergeCells count="3">
    <mergeCell ref="A1:K1"/>
    <mergeCell ref="AH1:AP1"/>
    <mergeCell ref="N1:AE1"/>
  </mergeCells>
  <conditionalFormatting sqref="K4:K1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{09513AFE-604C-BB4F-A8EF-69DE851B6D0F}</x14:id>
        </ext>
      </extLst>
    </cfRule>
  </conditionalFormatting>
  <conditionalFormatting sqref="E4:E13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4:I13">
    <cfRule type="cellIs" dxfId="21" priority="3" operator="equal">
      <formula>1</formula>
    </cfRule>
  </conditionalFormatting>
  <conditionalFormatting sqref="J4:J13">
    <cfRule type="cellIs" dxfId="20" priority="4" operator="equal">
      <formula>1</formula>
    </cfRule>
  </conditionalFormatting>
  <conditionalFormatting sqref="AD4:AD6">
    <cfRule type="containsText" dxfId="19" priority="5" operator="containsText" text="Baseline">
      <formula>NOT(ISERROR(SEARCH("Baseline",AD4)))</formula>
    </cfRule>
  </conditionalFormatting>
  <conditionalFormatting sqref="AD4:AD6">
    <cfRule type="containsText" dxfId="18" priority="6" operator="containsText" text="Marginal">
      <formula>NOT(ISERROR(SEARCH("Marginal",AD4)))</formula>
    </cfRule>
  </conditionalFormatting>
  <conditionalFormatting sqref="AD4:AD6">
    <cfRule type="containsText" dxfId="17" priority="7" operator="containsText" text="Justified">
      <formula>NOT(ISERROR(SEARCH("Justified",AD4)))</formula>
    </cfRule>
  </conditionalFormatting>
  <conditionalFormatting sqref="AK4:AK9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{C000671E-752C-4047-BC8D-29A80E0F4364}</x14:id>
        </ext>
      </extLst>
    </cfRule>
  </conditionalFormatting>
  <conditionalFormatting sqref="AN4:AN9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M4:AM9">
    <cfRule type="colorScale" priority="10">
      <colorScale>
        <cfvo type="min"/>
        <cfvo type="percentile" val="50"/>
        <cfvo type="max"/>
        <color rgb="FF63C384"/>
        <color rgb="FFFCFCFF"/>
        <color rgb="FFF8696B"/>
      </colorScale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9513AFE-604C-BB4F-A8EF-69DE851B6D0F}">
            <x14:dataBar minLength="0" maxLength="100" border="1" direction="leftToRight" negativeBarColorSameAsPositive="1" axisPosition="none">
              <x14:cfvo type="min"/>
              <x14:cfvo type="max"/>
              <x14:borderColor rgb="FF638EC6"/>
            </x14:dataBar>
          </x14:cfRule>
          <xm:sqref>K4:K13</xm:sqref>
        </x14:conditionalFormatting>
        <x14:conditionalFormatting xmlns:xm="http://schemas.microsoft.com/office/excel/2006/main">
          <x14:cfRule type="dataBar" id="{C000671E-752C-4047-BC8D-29A80E0F4364}">
            <x14:dataBar minLength="0" maxLength="100" border="1" direction="leftToRight" negativeBarColorSameAsPositive="1" axisPosition="none">
              <x14:cfvo type="min"/>
              <x14:cfvo type="max"/>
              <x14:borderColor rgb="FF63C384"/>
            </x14:dataBar>
          </x14:cfRule>
          <xm:sqref>AK4:AK9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2B36A-6F63-E344-B410-73FEE05D0574}">
  <dimension ref="A1:AG49"/>
  <sheetViews>
    <sheetView topLeftCell="C1" workbookViewId="0">
      <pane ySplit="3" topLeftCell="A4" activePane="bottomLeft" state="frozen"/>
      <selection pane="bottomLeft" activeCell="H20" sqref="H20:K20"/>
    </sheetView>
  </sheetViews>
  <sheetFormatPr baseColWidth="10" defaultRowHeight="16" x14ac:dyDescent="0.2"/>
  <cols>
    <col min="1" max="1" width="19.6640625" bestFit="1" customWidth="1"/>
    <col min="2" max="3" width="17.83203125" bestFit="1" customWidth="1"/>
    <col min="4" max="4" width="12.83203125" bestFit="1" customWidth="1"/>
    <col min="5" max="5" width="16.6640625" bestFit="1" customWidth="1"/>
    <col min="6" max="6" width="18" bestFit="1" customWidth="1"/>
    <col min="7" max="7" width="17.33203125" bestFit="1" customWidth="1"/>
    <col min="8" max="8" width="19.6640625" bestFit="1" customWidth="1"/>
    <col min="9" max="9" width="18" bestFit="1" customWidth="1"/>
    <col min="11" max="11" width="12" bestFit="1" customWidth="1"/>
    <col min="12" max="12" width="19.5" bestFit="1" customWidth="1"/>
    <col min="13" max="13" width="17.83203125" bestFit="1" customWidth="1"/>
    <col min="14" max="14" width="11" bestFit="1" customWidth="1"/>
    <col min="15" max="15" width="9.33203125" bestFit="1" customWidth="1"/>
    <col min="16" max="16" width="18" bestFit="1" customWidth="1"/>
    <col min="17" max="17" width="17.33203125" bestFit="1" customWidth="1"/>
    <col min="18" max="18" width="12.5" bestFit="1" customWidth="1"/>
    <col min="19" max="19" width="12.83203125" bestFit="1" customWidth="1"/>
    <col min="20" max="20" width="10.83203125" style="48"/>
    <col min="22" max="22" width="12.83203125" bestFit="1" customWidth="1"/>
    <col min="23" max="23" width="19.6640625" bestFit="1" customWidth="1"/>
    <col min="24" max="24" width="17.83203125" bestFit="1" customWidth="1"/>
    <col min="25" max="25" width="17.33203125" bestFit="1" customWidth="1"/>
    <col min="26" max="26" width="15.33203125" bestFit="1" customWidth="1"/>
    <col min="27" max="27" width="16.33203125" bestFit="1" customWidth="1"/>
    <col min="28" max="28" width="13.6640625" bestFit="1" customWidth="1"/>
    <col min="29" max="29" width="11" bestFit="1" customWidth="1"/>
    <col min="30" max="30" width="9.33203125" bestFit="1" customWidth="1"/>
    <col min="31" max="31" width="13.6640625" bestFit="1" customWidth="1"/>
    <col min="33" max="33" width="10.83203125" style="48"/>
  </cols>
  <sheetData>
    <row r="1" spans="1:31" ht="19" x14ac:dyDescent="0.25">
      <c r="A1" s="2" t="s">
        <v>91</v>
      </c>
      <c r="B1" s="2"/>
      <c r="C1" s="2"/>
      <c r="D1" s="2"/>
      <c r="E1" s="2"/>
      <c r="F1" s="2"/>
      <c r="G1" s="2"/>
      <c r="H1" s="2"/>
      <c r="I1" s="48"/>
      <c r="K1" s="2" t="s">
        <v>92</v>
      </c>
      <c r="L1" s="2"/>
      <c r="M1" s="2"/>
      <c r="N1" s="2"/>
      <c r="O1" s="2"/>
      <c r="P1" s="2"/>
      <c r="Q1" s="2"/>
      <c r="R1" s="2"/>
      <c r="S1" s="2"/>
      <c r="V1" s="2" t="s">
        <v>93</v>
      </c>
      <c r="W1" s="2"/>
      <c r="X1" s="2"/>
      <c r="Y1" s="2"/>
      <c r="Z1" s="2"/>
      <c r="AA1" s="2"/>
      <c r="AB1" s="2"/>
      <c r="AC1" s="2"/>
      <c r="AD1" s="2"/>
      <c r="AE1" s="2"/>
    </row>
    <row r="2" spans="1:31" x14ac:dyDescent="0.2">
      <c r="I2" s="48"/>
    </row>
    <row r="3" spans="1:31" ht="19" x14ac:dyDescent="0.25">
      <c r="A3" s="4" t="s">
        <v>33</v>
      </c>
      <c r="B3" s="5" t="s">
        <v>43</v>
      </c>
      <c r="C3" s="5" t="s">
        <v>94</v>
      </c>
      <c r="D3" s="5" t="s">
        <v>58</v>
      </c>
      <c r="E3" s="5" t="s">
        <v>95</v>
      </c>
      <c r="F3" s="5" t="s">
        <v>55</v>
      </c>
      <c r="G3" s="5" t="s">
        <v>96</v>
      </c>
      <c r="H3" s="6" t="s">
        <v>54</v>
      </c>
      <c r="I3" s="48"/>
      <c r="J3" s="13"/>
      <c r="K3" s="4" t="s">
        <v>97</v>
      </c>
      <c r="L3" s="5" t="s">
        <v>33</v>
      </c>
      <c r="M3" s="5" t="s">
        <v>43</v>
      </c>
      <c r="N3" s="5" t="s">
        <v>58</v>
      </c>
      <c r="O3" s="5" t="s">
        <v>95</v>
      </c>
      <c r="P3" s="5" t="s">
        <v>55</v>
      </c>
      <c r="Q3" s="5" t="s">
        <v>96</v>
      </c>
      <c r="R3" s="5" t="s">
        <v>54</v>
      </c>
      <c r="S3" s="6" t="s">
        <v>98</v>
      </c>
      <c r="V3" s="4" t="s">
        <v>99</v>
      </c>
      <c r="W3" s="5" t="s">
        <v>33</v>
      </c>
      <c r="X3" s="5" t="s">
        <v>43</v>
      </c>
      <c r="Y3" s="5" t="s">
        <v>96</v>
      </c>
      <c r="Z3" s="5" t="s">
        <v>100</v>
      </c>
      <c r="AA3" s="5" t="s">
        <v>101</v>
      </c>
      <c r="AB3" s="5" t="s">
        <v>102</v>
      </c>
      <c r="AC3" s="5" t="s">
        <v>58</v>
      </c>
      <c r="AD3" s="5" t="s">
        <v>95</v>
      </c>
      <c r="AE3" s="6" t="s">
        <v>103</v>
      </c>
    </row>
    <row r="4" spans="1:31" x14ac:dyDescent="0.2">
      <c r="A4" s="7" t="s">
        <v>67</v>
      </c>
      <c r="B4" s="36">
        <v>812</v>
      </c>
      <c r="C4" s="34">
        <v>6.7</v>
      </c>
      <c r="D4" s="49">
        <v>3.61</v>
      </c>
      <c r="E4" s="51">
        <v>565</v>
      </c>
      <c r="F4" s="34">
        <v>63.8</v>
      </c>
      <c r="G4" s="34">
        <v>48.4</v>
      </c>
      <c r="H4" s="66">
        <v>28.2</v>
      </c>
      <c r="I4" s="48"/>
      <c r="J4" s="13"/>
      <c r="K4" s="7">
        <v>1</v>
      </c>
      <c r="L4" s="8" t="s">
        <v>77</v>
      </c>
      <c r="M4" s="36">
        <v>205</v>
      </c>
      <c r="N4" s="49">
        <v>3.69</v>
      </c>
      <c r="O4" s="51">
        <v>340</v>
      </c>
      <c r="P4" s="34">
        <v>74.099999999999994</v>
      </c>
      <c r="Q4" s="34">
        <v>52.2</v>
      </c>
      <c r="R4" s="34">
        <v>15.1</v>
      </c>
      <c r="S4" s="9">
        <v>1.0840000000000001</v>
      </c>
      <c r="V4" s="7">
        <v>1</v>
      </c>
      <c r="W4" s="8" t="s">
        <v>84</v>
      </c>
      <c r="X4" s="36">
        <v>103</v>
      </c>
      <c r="Y4" s="34">
        <v>85.4</v>
      </c>
      <c r="Z4" s="34">
        <v>4.9000000000000004</v>
      </c>
      <c r="AA4" s="34">
        <v>32.6</v>
      </c>
      <c r="AB4" s="49">
        <v>61.3</v>
      </c>
      <c r="AC4" s="49">
        <v>3.5</v>
      </c>
      <c r="AD4" s="51">
        <v>431</v>
      </c>
      <c r="AE4" s="9" t="s">
        <v>85</v>
      </c>
    </row>
    <row r="5" spans="1:31" x14ac:dyDescent="0.2">
      <c r="A5" s="7" t="s">
        <v>19</v>
      </c>
      <c r="B5" s="36">
        <v>695</v>
      </c>
      <c r="C5" s="34">
        <v>5.8</v>
      </c>
      <c r="D5" s="49">
        <v>3.56</v>
      </c>
      <c r="E5" s="51">
        <v>382</v>
      </c>
      <c r="F5" s="34">
        <v>64.099999999999994</v>
      </c>
      <c r="G5" s="34">
        <v>56.4</v>
      </c>
      <c r="H5" s="66">
        <v>26.2</v>
      </c>
      <c r="I5" s="48"/>
      <c r="J5" s="13"/>
      <c r="K5" s="7">
        <v>2</v>
      </c>
      <c r="L5" s="8" t="s">
        <v>75</v>
      </c>
      <c r="M5" s="36">
        <v>282</v>
      </c>
      <c r="N5" s="49">
        <v>3.62</v>
      </c>
      <c r="O5" s="51">
        <v>377</v>
      </c>
      <c r="P5" s="34">
        <v>70.400000000000006</v>
      </c>
      <c r="Q5" s="34">
        <v>45</v>
      </c>
      <c r="R5" s="34">
        <v>23.4</v>
      </c>
      <c r="S5" s="9">
        <v>0.96199999999999997</v>
      </c>
      <c r="V5" s="7">
        <v>2</v>
      </c>
      <c r="W5" s="8" t="s">
        <v>69</v>
      </c>
      <c r="X5" s="36">
        <v>678</v>
      </c>
      <c r="Y5" s="34">
        <v>65.3</v>
      </c>
      <c r="Z5" s="34">
        <v>6.5</v>
      </c>
      <c r="AA5" s="34">
        <v>12.5</v>
      </c>
      <c r="AB5" s="49">
        <v>47.7</v>
      </c>
      <c r="AC5" s="49">
        <v>3.65</v>
      </c>
      <c r="AD5" s="51">
        <v>444</v>
      </c>
      <c r="AE5" s="9" t="s">
        <v>86</v>
      </c>
    </row>
    <row r="6" spans="1:31" x14ac:dyDescent="0.2">
      <c r="A6" s="7" t="s">
        <v>68</v>
      </c>
      <c r="B6" s="36">
        <v>691</v>
      </c>
      <c r="C6" s="34">
        <v>5.7</v>
      </c>
      <c r="D6" s="49">
        <v>3.48</v>
      </c>
      <c r="E6" s="51">
        <v>463</v>
      </c>
      <c r="F6" s="34">
        <v>54.1</v>
      </c>
      <c r="G6" s="34">
        <v>43.1</v>
      </c>
      <c r="H6" s="66">
        <v>36.9</v>
      </c>
      <c r="I6" s="48"/>
      <c r="J6" s="13"/>
      <c r="K6" s="7">
        <v>3</v>
      </c>
      <c r="L6" s="8" t="s">
        <v>19</v>
      </c>
      <c r="M6" s="36">
        <v>695</v>
      </c>
      <c r="N6" s="49">
        <v>3.56</v>
      </c>
      <c r="O6" s="51">
        <v>382</v>
      </c>
      <c r="P6" s="34">
        <v>64.099999999999994</v>
      </c>
      <c r="Q6" s="34">
        <v>56.4</v>
      </c>
      <c r="R6" s="34">
        <v>26.2</v>
      </c>
      <c r="S6" s="9">
        <v>0.93100000000000005</v>
      </c>
      <c r="V6" s="7">
        <v>3</v>
      </c>
      <c r="W6" s="8" t="s">
        <v>1</v>
      </c>
      <c r="X6" s="36">
        <v>321</v>
      </c>
      <c r="Y6" s="34">
        <v>62.3</v>
      </c>
      <c r="Z6" s="34">
        <v>7.8</v>
      </c>
      <c r="AA6" s="34">
        <v>9.5</v>
      </c>
      <c r="AB6" s="49">
        <v>46</v>
      </c>
      <c r="AC6" s="49">
        <v>3.61</v>
      </c>
      <c r="AD6" s="51">
        <v>493</v>
      </c>
      <c r="AE6" s="9" t="s">
        <v>86</v>
      </c>
    </row>
    <row r="7" spans="1:31" x14ac:dyDescent="0.2">
      <c r="A7" s="7" t="s">
        <v>69</v>
      </c>
      <c r="B7" s="36">
        <v>678</v>
      </c>
      <c r="C7" s="34">
        <v>5.6</v>
      </c>
      <c r="D7" s="49">
        <v>3.65</v>
      </c>
      <c r="E7" s="51">
        <v>444</v>
      </c>
      <c r="F7" s="34">
        <v>70.2</v>
      </c>
      <c r="G7" s="34">
        <v>65.3</v>
      </c>
      <c r="H7" s="66">
        <v>25.2</v>
      </c>
      <c r="I7" s="48"/>
      <c r="J7" s="13"/>
      <c r="K7" s="7">
        <v>4</v>
      </c>
      <c r="L7" s="8" t="s">
        <v>78</v>
      </c>
      <c r="M7" s="36">
        <v>103</v>
      </c>
      <c r="N7" s="49">
        <v>3.6</v>
      </c>
      <c r="O7" s="51">
        <v>398</v>
      </c>
      <c r="P7" s="34">
        <v>67.7</v>
      </c>
      <c r="Q7" s="34">
        <v>44.7</v>
      </c>
      <c r="R7" s="34">
        <v>36.9</v>
      </c>
      <c r="S7" s="9">
        <v>0.90500000000000003</v>
      </c>
      <c r="V7" s="7">
        <v>4</v>
      </c>
      <c r="W7" s="8" t="s">
        <v>79</v>
      </c>
      <c r="X7" s="36">
        <v>166</v>
      </c>
      <c r="Y7" s="34">
        <v>61.4</v>
      </c>
      <c r="Z7" s="34">
        <v>2.4</v>
      </c>
      <c r="AA7" s="34">
        <v>8.6</v>
      </c>
      <c r="AB7" s="49">
        <v>43.7</v>
      </c>
      <c r="AC7" s="49">
        <v>3.65</v>
      </c>
      <c r="AD7" s="51">
        <v>413</v>
      </c>
      <c r="AE7" s="9" t="s">
        <v>86</v>
      </c>
    </row>
    <row r="8" spans="1:31" x14ac:dyDescent="0.2">
      <c r="A8" s="7" t="s">
        <v>9</v>
      </c>
      <c r="B8" s="36">
        <v>651</v>
      </c>
      <c r="C8" s="34">
        <v>5.4</v>
      </c>
      <c r="D8" s="49">
        <v>3.54</v>
      </c>
      <c r="E8" s="51">
        <v>491</v>
      </c>
      <c r="F8" s="34">
        <v>59.8</v>
      </c>
      <c r="G8" s="34">
        <v>55</v>
      </c>
      <c r="H8" s="66">
        <v>25</v>
      </c>
      <c r="I8" s="48"/>
      <c r="J8" s="13"/>
      <c r="K8" s="7">
        <v>5</v>
      </c>
      <c r="L8" s="8" t="s">
        <v>79</v>
      </c>
      <c r="M8" s="36">
        <v>166</v>
      </c>
      <c r="N8" s="49">
        <v>3.65</v>
      </c>
      <c r="O8" s="51">
        <v>413</v>
      </c>
      <c r="P8" s="34">
        <v>71.7</v>
      </c>
      <c r="Q8" s="34">
        <v>61.4</v>
      </c>
      <c r="R8" s="34">
        <v>31.9</v>
      </c>
      <c r="S8" s="9">
        <v>0.88300000000000001</v>
      </c>
      <c r="V8" s="7">
        <v>5</v>
      </c>
      <c r="W8" s="8" t="s">
        <v>82</v>
      </c>
      <c r="X8" s="36">
        <v>174</v>
      </c>
      <c r="Y8" s="34">
        <v>60.9</v>
      </c>
      <c r="Z8" s="34">
        <v>7.5</v>
      </c>
      <c r="AA8" s="34">
        <v>8.1</v>
      </c>
      <c r="AB8" s="49">
        <v>44.9</v>
      </c>
      <c r="AC8" s="49">
        <v>3.57</v>
      </c>
      <c r="AD8" s="51">
        <v>420</v>
      </c>
      <c r="AE8" s="9" t="s">
        <v>86</v>
      </c>
    </row>
    <row r="9" spans="1:31" x14ac:dyDescent="0.2">
      <c r="A9" s="7" t="s">
        <v>6</v>
      </c>
      <c r="B9" s="36">
        <v>520</v>
      </c>
      <c r="C9" s="34">
        <v>4.3</v>
      </c>
      <c r="D9" s="49">
        <v>3.79</v>
      </c>
      <c r="E9" s="51">
        <v>607</v>
      </c>
      <c r="F9" s="34">
        <v>77.5</v>
      </c>
      <c r="G9" s="34">
        <v>53.3</v>
      </c>
      <c r="H9" s="66">
        <v>16.3</v>
      </c>
      <c r="I9" s="48"/>
      <c r="J9" s="13"/>
      <c r="K9" s="7">
        <v>6</v>
      </c>
      <c r="L9" s="8" t="s">
        <v>80</v>
      </c>
      <c r="M9" s="36">
        <v>226</v>
      </c>
      <c r="N9" s="49">
        <v>3.59</v>
      </c>
      <c r="O9" s="51">
        <v>409</v>
      </c>
      <c r="P9" s="34">
        <v>59.3</v>
      </c>
      <c r="Q9" s="34">
        <v>46</v>
      </c>
      <c r="R9" s="34">
        <v>23.9</v>
      </c>
      <c r="S9" s="9">
        <v>0.878</v>
      </c>
      <c r="V9" s="7">
        <v>6</v>
      </c>
      <c r="W9" s="8" t="s">
        <v>13</v>
      </c>
      <c r="X9" s="36">
        <v>263</v>
      </c>
      <c r="Y9" s="34">
        <v>60.8</v>
      </c>
      <c r="Z9" s="34">
        <v>19.8</v>
      </c>
      <c r="AA9" s="34">
        <v>8</v>
      </c>
      <c r="AB9" s="49">
        <v>48.5</v>
      </c>
      <c r="AC9" s="49">
        <v>3.92</v>
      </c>
      <c r="AD9" s="51">
        <v>581</v>
      </c>
      <c r="AE9" s="9" t="s">
        <v>86</v>
      </c>
    </row>
    <row r="10" spans="1:31" x14ac:dyDescent="0.2">
      <c r="A10" s="7" t="s">
        <v>70</v>
      </c>
      <c r="B10" s="36">
        <v>498</v>
      </c>
      <c r="C10" s="34">
        <v>4.0999999999999996</v>
      </c>
      <c r="D10" s="49">
        <v>3.63</v>
      </c>
      <c r="E10" s="51">
        <v>461</v>
      </c>
      <c r="F10" s="34">
        <v>69.099999999999994</v>
      </c>
      <c r="G10" s="34">
        <v>54.2</v>
      </c>
      <c r="H10" s="66">
        <v>27.9</v>
      </c>
      <c r="I10" s="48"/>
      <c r="J10" s="13"/>
      <c r="K10" s="7">
        <v>7</v>
      </c>
      <c r="L10" s="8" t="s">
        <v>81</v>
      </c>
      <c r="M10" s="36">
        <v>188</v>
      </c>
      <c r="N10" s="49">
        <v>3.63</v>
      </c>
      <c r="O10" s="51">
        <v>423</v>
      </c>
      <c r="P10" s="34">
        <v>70.400000000000006</v>
      </c>
      <c r="Q10" s="34">
        <v>46.8</v>
      </c>
      <c r="R10" s="34">
        <v>24.5</v>
      </c>
      <c r="S10" s="9">
        <v>0.85699999999999998</v>
      </c>
      <c r="V10" s="7">
        <v>7</v>
      </c>
      <c r="W10" s="8" t="s">
        <v>87</v>
      </c>
      <c r="X10" s="36">
        <v>143</v>
      </c>
      <c r="Y10" s="34">
        <v>60.1</v>
      </c>
      <c r="Z10" s="34">
        <v>9.1</v>
      </c>
      <c r="AA10" s="34">
        <v>7.3</v>
      </c>
      <c r="AB10" s="49">
        <v>44.8</v>
      </c>
      <c r="AC10" s="49">
        <v>3.76</v>
      </c>
      <c r="AD10" s="51">
        <v>522</v>
      </c>
      <c r="AE10" s="9" t="s">
        <v>86</v>
      </c>
    </row>
    <row r="11" spans="1:31" x14ac:dyDescent="0.2">
      <c r="A11" s="7" t="s">
        <v>71</v>
      </c>
      <c r="B11" s="36">
        <v>445</v>
      </c>
      <c r="C11" s="34">
        <v>3.7</v>
      </c>
      <c r="D11" s="49">
        <v>3.49</v>
      </c>
      <c r="E11" s="51">
        <v>424</v>
      </c>
      <c r="F11" s="34">
        <v>53.5</v>
      </c>
      <c r="G11" s="34">
        <v>53</v>
      </c>
      <c r="H11" s="66">
        <v>25.2</v>
      </c>
      <c r="I11" s="48"/>
      <c r="J11" s="13"/>
      <c r="K11" s="7">
        <v>8</v>
      </c>
      <c r="L11" s="8" t="s">
        <v>82</v>
      </c>
      <c r="M11" s="36">
        <v>174</v>
      </c>
      <c r="N11" s="49">
        <v>3.57</v>
      </c>
      <c r="O11" s="51">
        <v>420</v>
      </c>
      <c r="P11" s="34">
        <v>59.3</v>
      </c>
      <c r="Q11" s="34">
        <v>60.9</v>
      </c>
      <c r="R11" s="34">
        <v>19.5</v>
      </c>
      <c r="S11" s="9">
        <v>0.85099999999999998</v>
      </c>
      <c r="V11" s="7">
        <v>8</v>
      </c>
      <c r="W11" s="8" t="s">
        <v>72</v>
      </c>
      <c r="X11" s="36">
        <v>351</v>
      </c>
      <c r="Y11" s="34">
        <v>58.7</v>
      </c>
      <c r="Z11" s="34">
        <v>11.7</v>
      </c>
      <c r="AA11" s="34">
        <v>5.9</v>
      </c>
      <c r="AB11" s="49">
        <v>44.6</v>
      </c>
      <c r="AC11" s="49">
        <v>3.77</v>
      </c>
      <c r="AD11" s="51">
        <v>444</v>
      </c>
      <c r="AE11" s="9" t="s">
        <v>86</v>
      </c>
    </row>
    <row r="12" spans="1:31" x14ac:dyDescent="0.2">
      <c r="A12" s="7" t="s">
        <v>72</v>
      </c>
      <c r="B12" s="36">
        <v>351</v>
      </c>
      <c r="C12" s="34">
        <v>2.9</v>
      </c>
      <c r="D12" s="49">
        <v>3.77</v>
      </c>
      <c r="E12" s="51">
        <v>444</v>
      </c>
      <c r="F12" s="34">
        <v>80.099999999999994</v>
      </c>
      <c r="G12" s="34">
        <v>58.7</v>
      </c>
      <c r="H12" s="66">
        <v>18.2</v>
      </c>
      <c r="I12" s="48"/>
      <c r="J12" s="13"/>
      <c r="K12" s="7">
        <v>9</v>
      </c>
      <c r="L12" s="8" t="s">
        <v>72</v>
      </c>
      <c r="M12" s="36">
        <v>351</v>
      </c>
      <c r="N12" s="49">
        <v>3.77</v>
      </c>
      <c r="O12" s="51">
        <v>444</v>
      </c>
      <c r="P12" s="34">
        <v>80.099999999999994</v>
      </c>
      <c r="Q12" s="34">
        <v>58.7</v>
      </c>
      <c r="R12" s="34">
        <v>18.2</v>
      </c>
      <c r="S12" s="9">
        <v>0.84799999999999998</v>
      </c>
      <c r="V12" s="7">
        <v>9</v>
      </c>
      <c r="W12" s="8" t="s">
        <v>88</v>
      </c>
      <c r="X12" s="36">
        <v>117</v>
      </c>
      <c r="Y12" s="34">
        <v>57.3</v>
      </c>
      <c r="Z12" s="34">
        <v>12.8</v>
      </c>
      <c r="AA12" s="34">
        <v>4.5</v>
      </c>
      <c r="AB12" s="49">
        <v>43.9</v>
      </c>
      <c r="AC12" s="49">
        <v>3.73</v>
      </c>
      <c r="AD12" s="51">
        <v>689</v>
      </c>
      <c r="AE12" s="9" t="s">
        <v>86</v>
      </c>
    </row>
    <row r="13" spans="1:31" x14ac:dyDescent="0.2">
      <c r="A13" s="7" t="s">
        <v>73</v>
      </c>
      <c r="B13" s="36">
        <v>346</v>
      </c>
      <c r="C13" s="34">
        <v>2.9</v>
      </c>
      <c r="D13" s="49">
        <v>3.5</v>
      </c>
      <c r="E13" s="51">
        <v>487</v>
      </c>
      <c r="F13" s="34">
        <v>56.3</v>
      </c>
      <c r="G13" s="34">
        <v>53.5</v>
      </c>
      <c r="H13" s="66">
        <v>24</v>
      </c>
      <c r="I13" s="48"/>
      <c r="J13" s="13"/>
      <c r="K13" s="7">
        <v>10</v>
      </c>
      <c r="L13" s="8" t="s">
        <v>74</v>
      </c>
      <c r="M13" s="36">
        <v>300</v>
      </c>
      <c r="N13" s="49">
        <v>3.64</v>
      </c>
      <c r="O13" s="51">
        <v>436</v>
      </c>
      <c r="P13" s="34">
        <v>70.400000000000006</v>
      </c>
      <c r="Q13" s="34">
        <v>51.3</v>
      </c>
      <c r="R13" s="34">
        <v>28</v>
      </c>
      <c r="S13" s="9">
        <v>0.83599999999999997</v>
      </c>
      <c r="V13" s="7">
        <v>10</v>
      </c>
      <c r="W13" s="8" t="s">
        <v>19</v>
      </c>
      <c r="X13" s="36">
        <v>695</v>
      </c>
      <c r="Y13" s="34">
        <v>56.4</v>
      </c>
      <c r="Z13" s="34">
        <v>2.2000000000000002</v>
      </c>
      <c r="AA13" s="34">
        <v>3.6</v>
      </c>
      <c r="AB13" s="49">
        <v>40.1</v>
      </c>
      <c r="AC13" s="49">
        <v>3.56</v>
      </c>
      <c r="AD13" s="51">
        <v>382</v>
      </c>
      <c r="AE13" s="9" t="s">
        <v>86</v>
      </c>
    </row>
    <row r="14" spans="1:31" x14ac:dyDescent="0.2">
      <c r="A14" s="7" t="s">
        <v>1</v>
      </c>
      <c r="B14" s="36">
        <v>321</v>
      </c>
      <c r="C14" s="34">
        <v>2.7</v>
      </c>
      <c r="D14" s="49">
        <v>3.61</v>
      </c>
      <c r="E14" s="51">
        <v>493</v>
      </c>
      <c r="F14" s="34">
        <v>66.3</v>
      </c>
      <c r="G14" s="34">
        <v>62.3</v>
      </c>
      <c r="H14" s="66">
        <v>21.5</v>
      </c>
      <c r="I14" s="48"/>
      <c r="J14" s="13"/>
      <c r="K14" s="7">
        <v>11</v>
      </c>
      <c r="L14" s="8" t="s">
        <v>83</v>
      </c>
      <c r="M14" s="36">
        <v>177</v>
      </c>
      <c r="N14" s="49">
        <v>3.65</v>
      </c>
      <c r="O14" s="51">
        <v>437</v>
      </c>
      <c r="P14" s="34">
        <v>72.2</v>
      </c>
      <c r="Q14" s="34">
        <v>50.8</v>
      </c>
      <c r="R14" s="34">
        <v>28.8</v>
      </c>
      <c r="S14" s="9">
        <v>0.83499999999999996</v>
      </c>
      <c r="V14" s="7">
        <v>11</v>
      </c>
      <c r="W14" s="8" t="s">
        <v>89</v>
      </c>
      <c r="X14" s="36">
        <v>147</v>
      </c>
      <c r="Y14" s="34">
        <v>55.1</v>
      </c>
      <c r="Z14" s="34">
        <v>6.8</v>
      </c>
      <c r="AA14" s="34">
        <v>2.2999999999999998</v>
      </c>
      <c r="AB14" s="49">
        <v>40.6</v>
      </c>
      <c r="AC14" s="49">
        <v>3.73</v>
      </c>
      <c r="AD14" s="51">
        <v>553</v>
      </c>
      <c r="AE14" s="9" t="s">
        <v>86</v>
      </c>
    </row>
    <row r="15" spans="1:31" x14ac:dyDescent="0.2">
      <c r="A15" s="7" t="s">
        <v>74</v>
      </c>
      <c r="B15" s="36">
        <v>300</v>
      </c>
      <c r="C15" s="34">
        <v>2.5</v>
      </c>
      <c r="D15" s="49">
        <v>3.64</v>
      </c>
      <c r="E15" s="51">
        <v>436</v>
      </c>
      <c r="F15" s="34">
        <v>70.400000000000006</v>
      </c>
      <c r="G15" s="34">
        <v>51.3</v>
      </c>
      <c r="H15" s="66">
        <v>28</v>
      </c>
      <c r="I15" s="48"/>
      <c r="J15" s="13"/>
      <c r="K15" s="7">
        <v>12</v>
      </c>
      <c r="L15" s="8" t="s">
        <v>69</v>
      </c>
      <c r="M15" s="36">
        <v>678</v>
      </c>
      <c r="N15" s="49">
        <v>3.65</v>
      </c>
      <c r="O15" s="51">
        <v>444</v>
      </c>
      <c r="P15" s="34">
        <v>70.2</v>
      </c>
      <c r="Q15" s="34">
        <v>65.3</v>
      </c>
      <c r="R15" s="34">
        <v>25.2</v>
      </c>
      <c r="S15" s="9">
        <v>0.82299999999999995</v>
      </c>
      <c r="V15" s="7">
        <v>12</v>
      </c>
      <c r="W15" s="8" t="s">
        <v>9</v>
      </c>
      <c r="X15" s="36">
        <v>651</v>
      </c>
      <c r="Y15" s="34">
        <v>55</v>
      </c>
      <c r="Z15" s="34">
        <v>7.5</v>
      </c>
      <c r="AA15" s="34">
        <v>2.2000000000000002</v>
      </c>
      <c r="AB15" s="49">
        <v>40.799999999999997</v>
      </c>
      <c r="AC15" s="49">
        <v>3.54</v>
      </c>
      <c r="AD15" s="51">
        <v>491</v>
      </c>
      <c r="AE15" s="9" t="s">
        <v>86</v>
      </c>
    </row>
    <row r="16" spans="1:31" x14ac:dyDescent="0.2">
      <c r="A16" s="7" t="s">
        <v>75</v>
      </c>
      <c r="B16" s="36">
        <v>282</v>
      </c>
      <c r="C16" s="34">
        <v>2.2999999999999998</v>
      </c>
      <c r="D16" s="49">
        <v>3.62</v>
      </c>
      <c r="E16" s="51">
        <v>377</v>
      </c>
      <c r="F16" s="34">
        <v>70.400000000000006</v>
      </c>
      <c r="G16" s="34">
        <v>45</v>
      </c>
      <c r="H16" s="66">
        <v>23.4</v>
      </c>
      <c r="I16" s="48"/>
      <c r="J16" s="13"/>
      <c r="K16" s="7">
        <v>13</v>
      </c>
      <c r="L16" s="8" t="s">
        <v>70</v>
      </c>
      <c r="M16" s="36">
        <v>498</v>
      </c>
      <c r="N16" s="49">
        <v>3.63</v>
      </c>
      <c r="O16" s="51">
        <v>461</v>
      </c>
      <c r="P16" s="34">
        <v>69.099999999999994</v>
      </c>
      <c r="Q16" s="34">
        <v>54.2</v>
      </c>
      <c r="R16" s="34">
        <v>27.9</v>
      </c>
      <c r="S16" s="9">
        <v>0.78800000000000003</v>
      </c>
      <c r="V16" s="7">
        <v>13</v>
      </c>
      <c r="W16" s="8" t="s">
        <v>76</v>
      </c>
      <c r="X16" s="36">
        <v>238</v>
      </c>
      <c r="Y16" s="34">
        <v>54.2</v>
      </c>
      <c r="Z16" s="34">
        <v>14.3</v>
      </c>
      <c r="AA16" s="34">
        <v>1.4</v>
      </c>
      <c r="AB16" s="49">
        <v>42.2</v>
      </c>
      <c r="AC16" s="49">
        <v>3.74</v>
      </c>
      <c r="AD16" s="51">
        <v>533</v>
      </c>
      <c r="AE16" s="9" t="s">
        <v>90</v>
      </c>
    </row>
    <row r="17" spans="1:31" x14ac:dyDescent="0.2">
      <c r="A17" s="7" t="s">
        <v>13</v>
      </c>
      <c r="B17" s="36">
        <v>263</v>
      </c>
      <c r="C17" s="34">
        <v>2.2000000000000002</v>
      </c>
      <c r="D17" s="49">
        <v>3.92</v>
      </c>
      <c r="E17" s="51">
        <v>581</v>
      </c>
      <c r="F17" s="34">
        <v>85</v>
      </c>
      <c r="G17" s="34">
        <v>60.8</v>
      </c>
      <c r="H17" s="66">
        <v>8.6999999999999993</v>
      </c>
      <c r="I17" s="48"/>
      <c r="J17" s="13"/>
      <c r="K17" s="7">
        <v>14</v>
      </c>
      <c r="L17" s="8" t="s">
        <v>21</v>
      </c>
      <c r="M17" s="36">
        <v>232</v>
      </c>
      <c r="N17" s="49">
        <v>3.74</v>
      </c>
      <c r="O17" s="51">
        <v>488</v>
      </c>
      <c r="P17" s="34">
        <v>75.900000000000006</v>
      </c>
      <c r="Q17" s="34">
        <v>52.2</v>
      </c>
      <c r="R17" s="34">
        <v>14.2</v>
      </c>
      <c r="S17" s="9">
        <v>0.76500000000000001</v>
      </c>
      <c r="V17" s="7">
        <v>13</v>
      </c>
      <c r="W17" s="8" t="s">
        <v>70</v>
      </c>
      <c r="X17" s="36">
        <v>498</v>
      </c>
      <c r="Y17" s="34">
        <v>54.2</v>
      </c>
      <c r="Z17" s="34">
        <v>8</v>
      </c>
      <c r="AA17" s="34">
        <v>1.4</v>
      </c>
      <c r="AB17" s="49">
        <v>40.4</v>
      </c>
      <c r="AC17" s="49">
        <v>3.63</v>
      </c>
      <c r="AD17" s="51">
        <v>461</v>
      </c>
      <c r="AE17" s="9" t="s">
        <v>90</v>
      </c>
    </row>
    <row r="18" spans="1:31" x14ac:dyDescent="0.2">
      <c r="A18" s="10" t="s">
        <v>76</v>
      </c>
      <c r="B18" s="37">
        <v>238</v>
      </c>
      <c r="C18" s="35">
        <v>2</v>
      </c>
      <c r="D18" s="50">
        <v>3.74</v>
      </c>
      <c r="E18" s="52">
        <v>533</v>
      </c>
      <c r="F18" s="35">
        <v>75.900000000000006</v>
      </c>
      <c r="G18" s="35">
        <v>54.2</v>
      </c>
      <c r="H18" s="67">
        <v>19.7</v>
      </c>
      <c r="I18" s="48"/>
      <c r="J18" s="13"/>
      <c r="K18" s="10">
        <v>15</v>
      </c>
      <c r="L18" s="11" t="s">
        <v>1</v>
      </c>
      <c r="M18" s="37">
        <v>321</v>
      </c>
      <c r="N18" s="50">
        <v>3.61</v>
      </c>
      <c r="O18" s="52">
        <v>493</v>
      </c>
      <c r="P18" s="35">
        <v>66.3</v>
      </c>
      <c r="Q18" s="35">
        <v>62.3</v>
      </c>
      <c r="R18" s="35">
        <v>21.5</v>
      </c>
      <c r="S18" s="12">
        <v>0.73299999999999998</v>
      </c>
      <c r="V18" s="10">
        <v>15</v>
      </c>
      <c r="W18" s="11" t="s">
        <v>73</v>
      </c>
      <c r="X18" s="37">
        <v>346</v>
      </c>
      <c r="Y18" s="35">
        <v>53.5</v>
      </c>
      <c r="Z18" s="35">
        <v>4.3</v>
      </c>
      <c r="AA18" s="35">
        <v>0.7</v>
      </c>
      <c r="AB18" s="50">
        <v>38.700000000000003</v>
      </c>
      <c r="AC18" s="50">
        <v>3.5</v>
      </c>
      <c r="AD18" s="52">
        <v>487</v>
      </c>
      <c r="AE18" s="12" t="s">
        <v>90</v>
      </c>
    </row>
    <row r="20" spans="1:31" ht="19" x14ac:dyDescent="0.25">
      <c r="A20" s="55" t="s">
        <v>218</v>
      </c>
      <c r="B20" s="55"/>
      <c r="C20" s="55"/>
      <c r="D20" s="55"/>
      <c r="E20" s="55"/>
      <c r="F20" s="55"/>
      <c r="H20" s="63" t="s">
        <v>222</v>
      </c>
      <c r="I20" s="63"/>
      <c r="J20" s="63"/>
      <c r="K20" s="63"/>
    </row>
    <row r="21" spans="1:31" x14ac:dyDescent="0.2">
      <c r="A21" s="13"/>
      <c r="B21" s="13"/>
      <c r="C21" s="13"/>
      <c r="D21" s="13"/>
      <c r="E21" s="13"/>
      <c r="F21" s="13"/>
      <c r="H21" s="13"/>
      <c r="I21" s="13"/>
    </row>
    <row r="22" spans="1:31" ht="19" x14ac:dyDescent="0.25">
      <c r="A22" s="56" t="s">
        <v>33</v>
      </c>
      <c r="B22" s="27" t="s">
        <v>219</v>
      </c>
      <c r="C22" s="27" t="s">
        <v>97</v>
      </c>
      <c r="D22" s="27" t="s">
        <v>99</v>
      </c>
      <c r="E22" s="27" t="s">
        <v>220</v>
      </c>
      <c r="F22" s="29" t="s">
        <v>221</v>
      </c>
      <c r="H22" s="56" t="s">
        <v>33</v>
      </c>
      <c r="I22" s="29" t="s">
        <v>55</v>
      </c>
    </row>
    <row r="23" spans="1:31" x14ac:dyDescent="0.2">
      <c r="A23" s="57" t="str" cm="1">
        <f t="array" ref="A23:A49">_xlfn._xlws.SORT(_xlfn.UNIQUE(_xlfn.VSTACK(A4:A18,L4:L18,W4:W18)))</f>
        <v>Banashankari</v>
      </c>
      <c r="B23" s="26">
        <f>IF(A23="","",IFERROR(MATCH(A23,$A$4:$A$18,0),"—"))</f>
        <v>13</v>
      </c>
      <c r="C23" s="26">
        <f>IF(A23="","",IFERROR(INDEX($K$4:$K$18,MATCH(A23,$L$4:$L$18,0)),"—"))</f>
        <v>2</v>
      </c>
      <c r="D23" s="26" t="str">
        <f>IF(A23="","",IFERROR(INDEX($V$4:$V$18,MATCH(A23,$W$4:$W$18,0)),"—"))</f>
        <v>—</v>
      </c>
      <c r="E23" s="26">
        <f>IF(A23="","",3-COUNTIF(B23:D23,"—"))</f>
        <v>2</v>
      </c>
      <c r="F23" s="59">
        <f>IF(A23="","",IF(E23&gt;=2,(IF(ISNUMBER(B23),B23,0)+IF(ISNUMBER(C23),C23,0)+IF(ISNUMBER(D23),D23,0))/E23,"Insufficient data"))</f>
        <v>7.5</v>
      </c>
      <c r="H23" s="38" t="str" cm="1">
        <f t="array" ref="H23:H37">_xlfn.SORTBY($A$4:$A$18,$F$4:$F$18,-1)</f>
        <v>Koramangala 5th Block</v>
      </c>
      <c r="I23" s="64" cm="1">
        <f t="array" ref="I23:I37">_xlfn.SORTBY($F$4:$F$18,$F$4:$F$18,-1)</f>
        <v>85</v>
      </c>
    </row>
    <row r="24" spans="1:31" x14ac:dyDescent="0.2">
      <c r="A24" s="57" t="str">
        <v>Bannerghatta Road</v>
      </c>
      <c r="B24" s="26">
        <f t="shared" ref="B24:B49" si="0">IF(A24="","",IFERROR(MATCH(A24,$A$4:$A$18,0),"—"))</f>
        <v>8</v>
      </c>
      <c r="C24" s="26" t="str">
        <f t="shared" ref="C24:C49" si="1">IF(A24="","",IFERROR(INDEX($K$4:$K$18,MATCH(A24,$L$4:$L$18,0)),"—"))</f>
        <v>—</v>
      </c>
      <c r="D24" s="26" t="str">
        <f t="shared" ref="D24:D49" si="2">IF(A24="","",IFERROR(INDEX($V$4:$V$18,MATCH(A24,$W$4:$W$18,0)),"—"))</f>
        <v>—</v>
      </c>
      <c r="E24" s="26">
        <f t="shared" ref="E24:E49" si="3">IF(A24="","",3-COUNTIF(B24:D24,"—"))</f>
        <v>1</v>
      </c>
      <c r="F24" s="59" t="str">
        <f t="shared" ref="F24:F49" si="4">IF(A24="","",IF(E24&gt;=2,(IF(ISNUMBER(B24),B24,0)+IF(ISNUMBER(C24),C24,0)+IF(ISNUMBER(D24),D24,0))/E24,"Insufficient data"))</f>
        <v>Insufficient data</v>
      </c>
      <c r="H24" s="38" t="str">
        <v>Jayanagar</v>
      </c>
      <c r="I24" s="64">
        <v>80.099999999999994</v>
      </c>
    </row>
    <row r="25" spans="1:31" x14ac:dyDescent="0.2">
      <c r="A25" s="57" t="str">
        <v>Basavanagudi</v>
      </c>
      <c r="B25" s="26" t="str">
        <f t="shared" si="0"/>
        <v>—</v>
      </c>
      <c r="C25" s="26">
        <f t="shared" si="1"/>
        <v>1</v>
      </c>
      <c r="D25" s="26" t="str">
        <f t="shared" si="2"/>
        <v>—</v>
      </c>
      <c r="E25" s="26">
        <f t="shared" si="3"/>
        <v>1</v>
      </c>
      <c r="F25" s="59" t="str">
        <f t="shared" si="4"/>
        <v>Insufficient data</v>
      </c>
      <c r="H25" s="38" t="str">
        <v>Indiranagar</v>
      </c>
      <c r="I25" s="64">
        <v>77.5</v>
      </c>
    </row>
    <row r="26" spans="1:31" x14ac:dyDescent="0.2">
      <c r="A26" s="57" t="str">
        <v>Basaveshwara Nagar</v>
      </c>
      <c r="B26" s="26" t="str">
        <f t="shared" si="0"/>
        <v>—</v>
      </c>
      <c r="C26" s="26">
        <f t="shared" si="1"/>
        <v>4</v>
      </c>
      <c r="D26" s="26" t="str">
        <f t="shared" si="2"/>
        <v>—</v>
      </c>
      <c r="E26" s="26">
        <f t="shared" si="3"/>
        <v>1</v>
      </c>
      <c r="F26" s="59" t="str">
        <f t="shared" si="4"/>
        <v>Insufficient data</v>
      </c>
      <c r="H26" s="38" t="str">
        <v>Kalyan Nagar</v>
      </c>
      <c r="I26" s="64">
        <v>75.900000000000006</v>
      </c>
    </row>
    <row r="27" spans="1:31" x14ac:dyDescent="0.2">
      <c r="A27" s="57" t="str">
        <v>Bellandur</v>
      </c>
      <c r="B27" s="26">
        <f t="shared" si="0"/>
        <v>10</v>
      </c>
      <c r="C27" s="26" t="str">
        <f t="shared" si="1"/>
        <v>—</v>
      </c>
      <c r="D27" s="26">
        <f t="shared" si="2"/>
        <v>15</v>
      </c>
      <c r="E27" s="26">
        <f t="shared" si="3"/>
        <v>2</v>
      </c>
      <c r="F27" s="59">
        <f t="shared" si="4"/>
        <v>12.5</v>
      </c>
      <c r="H27" s="38" t="str">
        <v>New BEL Road</v>
      </c>
      <c r="I27" s="64">
        <v>70.400000000000006</v>
      </c>
    </row>
    <row r="28" spans="1:31" x14ac:dyDescent="0.2">
      <c r="A28" s="57" t="str">
        <v>Brookefield</v>
      </c>
      <c r="B28" s="26" t="str">
        <f t="shared" si="0"/>
        <v>—</v>
      </c>
      <c r="C28" s="26">
        <f t="shared" si="1"/>
        <v>8</v>
      </c>
      <c r="D28" s="26">
        <f t="shared" si="2"/>
        <v>5</v>
      </c>
      <c r="E28" s="26">
        <f t="shared" si="3"/>
        <v>2</v>
      </c>
      <c r="F28" s="59">
        <f t="shared" si="4"/>
        <v>6.5</v>
      </c>
      <c r="H28" s="38" t="str">
        <v>Banashankari</v>
      </c>
      <c r="I28" s="64">
        <v>70.400000000000006</v>
      </c>
    </row>
    <row r="29" spans="1:31" x14ac:dyDescent="0.2">
      <c r="A29" s="57" t="str">
        <v>BTM</v>
      </c>
      <c r="B29" s="26">
        <f t="shared" si="0"/>
        <v>2</v>
      </c>
      <c r="C29" s="26">
        <f t="shared" si="1"/>
        <v>3</v>
      </c>
      <c r="D29" s="26">
        <f t="shared" si="2"/>
        <v>10</v>
      </c>
      <c r="E29" s="26">
        <f t="shared" si="3"/>
        <v>3</v>
      </c>
      <c r="F29" s="59">
        <f t="shared" si="4"/>
        <v>5</v>
      </c>
      <c r="H29" s="38" t="str">
        <v>HSR</v>
      </c>
      <c r="I29" s="64">
        <v>70.2</v>
      </c>
    </row>
    <row r="30" spans="1:31" x14ac:dyDescent="0.2">
      <c r="A30" s="57" t="str">
        <v>Electronic City</v>
      </c>
      <c r="B30" s="26">
        <f t="shared" si="0"/>
        <v>3</v>
      </c>
      <c r="C30" s="26" t="str">
        <f t="shared" si="1"/>
        <v>—</v>
      </c>
      <c r="D30" s="26" t="str">
        <f t="shared" si="2"/>
        <v>—</v>
      </c>
      <c r="E30" s="26">
        <f t="shared" si="3"/>
        <v>1</v>
      </c>
      <c r="F30" s="59" t="str">
        <f t="shared" si="4"/>
        <v>Insufficient data</v>
      </c>
      <c r="H30" s="38" t="str">
        <v>JP Nagar</v>
      </c>
      <c r="I30" s="64">
        <v>69.099999999999994</v>
      </c>
    </row>
    <row r="31" spans="1:31" x14ac:dyDescent="0.2">
      <c r="A31" s="57" t="str">
        <v>Frazer Town</v>
      </c>
      <c r="B31" s="26" t="str">
        <f t="shared" si="0"/>
        <v>—</v>
      </c>
      <c r="C31" s="26">
        <f t="shared" si="1"/>
        <v>7</v>
      </c>
      <c r="D31" s="26" t="str">
        <f t="shared" si="2"/>
        <v>—</v>
      </c>
      <c r="E31" s="26">
        <f t="shared" si="3"/>
        <v>1</v>
      </c>
      <c r="F31" s="59" t="str">
        <f t="shared" si="4"/>
        <v>Insufficient data</v>
      </c>
      <c r="H31" s="38" t="str">
        <v>Sarjapur Road</v>
      </c>
      <c r="I31" s="64">
        <v>66.3</v>
      </c>
    </row>
    <row r="32" spans="1:31" x14ac:dyDescent="0.2">
      <c r="A32" s="57" t="str">
        <v>HSR</v>
      </c>
      <c r="B32" s="26">
        <f t="shared" si="0"/>
        <v>4</v>
      </c>
      <c r="C32" s="26">
        <f t="shared" si="1"/>
        <v>12</v>
      </c>
      <c r="D32" s="26">
        <f t="shared" si="2"/>
        <v>2</v>
      </c>
      <c r="E32" s="26">
        <f t="shared" si="3"/>
        <v>3</v>
      </c>
      <c r="F32" s="59">
        <f t="shared" si="4"/>
        <v>6</v>
      </c>
      <c r="H32" s="38" t="str">
        <v>BTM</v>
      </c>
      <c r="I32" s="64">
        <v>64.099999999999994</v>
      </c>
    </row>
    <row r="33" spans="1:9" x14ac:dyDescent="0.2">
      <c r="A33" s="57" t="str">
        <v>Indiranagar</v>
      </c>
      <c r="B33" s="26">
        <f t="shared" si="0"/>
        <v>6</v>
      </c>
      <c r="C33" s="26" t="str">
        <f t="shared" si="1"/>
        <v>—</v>
      </c>
      <c r="D33" s="26" t="str">
        <f t="shared" si="2"/>
        <v>—</v>
      </c>
      <c r="E33" s="26">
        <f t="shared" si="3"/>
        <v>1</v>
      </c>
      <c r="F33" s="59" t="str">
        <f t="shared" si="4"/>
        <v>Insufficient data</v>
      </c>
      <c r="H33" s="38" t="str">
        <v>Whitefield</v>
      </c>
      <c r="I33" s="64">
        <v>63.8</v>
      </c>
    </row>
    <row r="34" spans="1:9" x14ac:dyDescent="0.2">
      <c r="A34" s="57" t="str">
        <v>Jayanagar</v>
      </c>
      <c r="B34" s="26">
        <f t="shared" si="0"/>
        <v>9</v>
      </c>
      <c r="C34" s="26">
        <f t="shared" si="1"/>
        <v>9</v>
      </c>
      <c r="D34" s="26">
        <f t="shared" si="2"/>
        <v>8</v>
      </c>
      <c r="E34" s="26">
        <f t="shared" si="3"/>
        <v>3</v>
      </c>
      <c r="F34" s="59">
        <f t="shared" si="4"/>
        <v>8.6666666666666661</v>
      </c>
      <c r="H34" s="38" t="str">
        <v>Marathahalli</v>
      </c>
      <c r="I34" s="64">
        <v>59.8</v>
      </c>
    </row>
    <row r="35" spans="1:9" x14ac:dyDescent="0.2">
      <c r="A35" s="57" t="str">
        <v>JP Nagar</v>
      </c>
      <c r="B35" s="26">
        <f t="shared" si="0"/>
        <v>7</v>
      </c>
      <c r="C35" s="26">
        <f t="shared" si="1"/>
        <v>13</v>
      </c>
      <c r="D35" s="26">
        <f t="shared" si="2"/>
        <v>13</v>
      </c>
      <c r="E35" s="26">
        <f t="shared" si="3"/>
        <v>3</v>
      </c>
      <c r="F35" s="59">
        <f t="shared" si="4"/>
        <v>11</v>
      </c>
      <c r="H35" s="38" t="str">
        <v>Bellandur</v>
      </c>
      <c r="I35" s="64">
        <v>56.3</v>
      </c>
    </row>
    <row r="36" spans="1:9" x14ac:dyDescent="0.2">
      <c r="A36" s="57" t="str">
        <v>Kalyan Nagar</v>
      </c>
      <c r="B36" s="26">
        <f t="shared" si="0"/>
        <v>15</v>
      </c>
      <c r="C36" s="26" t="str">
        <f t="shared" si="1"/>
        <v>—</v>
      </c>
      <c r="D36" s="26">
        <f t="shared" si="2"/>
        <v>13</v>
      </c>
      <c r="E36" s="26">
        <f t="shared" si="3"/>
        <v>2</v>
      </c>
      <c r="F36" s="59">
        <f t="shared" si="4"/>
        <v>14</v>
      </c>
      <c r="H36" s="38" t="str">
        <v>Electronic City</v>
      </c>
      <c r="I36" s="64">
        <v>54.1</v>
      </c>
    </row>
    <row r="37" spans="1:9" x14ac:dyDescent="0.2">
      <c r="A37" s="57" t="str">
        <v>Kammanahalli</v>
      </c>
      <c r="B37" s="26" t="str">
        <f t="shared" si="0"/>
        <v>—</v>
      </c>
      <c r="C37" s="26">
        <f t="shared" si="1"/>
        <v>11</v>
      </c>
      <c r="D37" s="26" t="str">
        <f t="shared" si="2"/>
        <v>—</v>
      </c>
      <c r="E37" s="26">
        <f t="shared" si="3"/>
        <v>1</v>
      </c>
      <c r="F37" s="59" t="str">
        <f t="shared" si="4"/>
        <v>Insufficient data</v>
      </c>
      <c r="H37" s="40" t="str">
        <v>Bannerghatta Road</v>
      </c>
      <c r="I37" s="65">
        <v>53.5</v>
      </c>
    </row>
    <row r="38" spans="1:9" x14ac:dyDescent="0.2">
      <c r="A38" s="57" t="str">
        <v>Koramangala 1st Block</v>
      </c>
      <c r="B38" s="26" t="str">
        <f t="shared" si="0"/>
        <v>—</v>
      </c>
      <c r="C38" s="26">
        <f t="shared" si="1"/>
        <v>5</v>
      </c>
      <c r="D38" s="26">
        <f t="shared" si="2"/>
        <v>4</v>
      </c>
      <c r="E38" s="26">
        <f t="shared" si="3"/>
        <v>2</v>
      </c>
      <c r="F38" s="59">
        <f t="shared" si="4"/>
        <v>4.5</v>
      </c>
    </row>
    <row r="39" spans="1:9" x14ac:dyDescent="0.2">
      <c r="A39" s="57" t="str">
        <v>Koramangala 5th Block</v>
      </c>
      <c r="B39" s="26">
        <f t="shared" si="0"/>
        <v>14</v>
      </c>
      <c r="C39" s="26" t="str">
        <f t="shared" si="1"/>
        <v>—</v>
      </c>
      <c r="D39" s="26">
        <f t="shared" si="2"/>
        <v>6</v>
      </c>
      <c r="E39" s="26">
        <f t="shared" si="3"/>
        <v>2</v>
      </c>
      <c r="F39" s="59">
        <f t="shared" si="4"/>
        <v>10</v>
      </c>
    </row>
    <row r="40" spans="1:9" x14ac:dyDescent="0.2">
      <c r="A40" s="57" t="str">
        <v>Koramangala 6th Block</v>
      </c>
      <c r="B40" s="26" t="str">
        <f t="shared" si="0"/>
        <v>—</v>
      </c>
      <c r="C40" s="26" t="str">
        <f t="shared" si="1"/>
        <v>—</v>
      </c>
      <c r="D40" s="26">
        <f t="shared" si="2"/>
        <v>11</v>
      </c>
      <c r="E40" s="26">
        <f t="shared" si="3"/>
        <v>1</v>
      </c>
      <c r="F40" s="59" t="str">
        <f t="shared" si="4"/>
        <v>Insufficient data</v>
      </c>
    </row>
    <row r="41" spans="1:9" x14ac:dyDescent="0.2">
      <c r="A41" s="57" t="str">
        <v>Koramangala 7th Block</v>
      </c>
      <c r="B41" s="26" t="str">
        <f t="shared" si="0"/>
        <v>—</v>
      </c>
      <c r="C41" s="26" t="str">
        <f t="shared" si="1"/>
        <v>—</v>
      </c>
      <c r="D41" s="26">
        <f t="shared" si="2"/>
        <v>7</v>
      </c>
      <c r="E41" s="26">
        <f t="shared" si="3"/>
        <v>1</v>
      </c>
      <c r="F41" s="59" t="str">
        <f t="shared" si="4"/>
        <v>Insufficient data</v>
      </c>
    </row>
    <row r="42" spans="1:9" x14ac:dyDescent="0.2">
      <c r="A42" s="57" t="str">
        <v>Malleshwaram</v>
      </c>
      <c r="B42" s="26" t="str">
        <f t="shared" si="0"/>
        <v>—</v>
      </c>
      <c r="C42" s="26">
        <f t="shared" si="1"/>
        <v>14</v>
      </c>
      <c r="D42" s="26" t="str">
        <f t="shared" si="2"/>
        <v>—</v>
      </c>
      <c r="E42" s="26">
        <f t="shared" si="3"/>
        <v>1</v>
      </c>
      <c r="F42" s="59" t="str">
        <f t="shared" si="4"/>
        <v>Insufficient data</v>
      </c>
    </row>
    <row r="43" spans="1:9" x14ac:dyDescent="0.2">
      <c r="A43" s="57" t="str">
        <v>Marathahalli</v>
      </c>
      <c r="B43" s="26">
        <f t="shared" si="0"/>
        <v>5</v>
      </c>
      <c r="C43" s="26" t="str">
        <f t="shared" si="1"/>
        <v>—</v>
      </c>
      <c r="D43" s="26">
        <f t="shared" si="2"/>
        <v>12</v>
      </c>
      <c r="E43" s="26">
        <f t="shared" si="3"/>
        <v>2</v>
      </c>
      <c r="F43" s="59">
        <f t="shared" si="4"/>
        <v>8.5</v>
      </c>
    </row>
    <row r="44" spans="1:9" x14ac:dyDescent="0.2">
      <c r="A44" s="57" t="str">
        <v>Nagawara</v>
      </c>
      <c r="B44" s="26" t="str">
        <f t="shared" si="0"/>
        <v>—</v>
      </c>
      <c r="C44" s="26" t="str">
        <f t="shared" si="1"/>
        <v>—</v>
      </c>
      <c r="D44" s="26">
        <f t="shared" si="2"/>
        <v>1</v>
      </c>
      <c r="E44" s="26">
        <f t="shared" si="3"/>
        <v>1</v>
      </c>
      <c r="F44" s="59" t="str">
        <f t="shared" si="4"/>
        <v>Insufficient data</v>
      </c>
    </row>
    <row r="45" spans="1:9" x14ac:dyDescent="0.2">
      <c r="A45" s="57" t="str">
        <v>New BEL Road</v>
      </c>
      <c r="B45" s="26">
        <f t="shared" si="0"/>
        <v>12</v>
      </c>
      <c r="C45" s="26">
        <f t="shared" si="1"/>
        <v>10</v>
      </c>
      <c r="D45" s="26" t="str">
        <f t="shared" si="2"/>
        <v>—</v>
      </c>
      <c r="E45" s="26">
        <f t="shared" si="3"/>
        <v>2</v>
      </c>
      <c r="F45" s="59">
        <f t="shared" si="4"/>
        <v>11</v>
      </c>
    </row>
    <row r="46" spans="1:9" x14ac:dyDescent="0.2">
      <c r="A46" s="57" t="str">
        <v>Rajajinagar</v>
      </c>
      <c r="B46" s="26" t="str">
        <f t="shared" si="0"/>
        <v>—</v>
      </c>
      <c r="C46" s="26">
        <f t="shared" si="1"/>
        <v>6</v>
      </c>
      <c r="D46" s="26" t="str">
        <f t="shared" si="2"/>
        <v>—</v>
      </c>
      <c r="E46" s="26">
        <f t="shared" si="3"/>
        <v>1</v>
      </c>
      <c r="F46" s="59" t="str">
        <f t="shared" si="4"/>
        <v>Insufficient data</v>
      </c>
    </row>
    <row r="47" spans="1:9" x14ac:dyDescent="0.2">
      <c r="A47" s="57" t="str">
        <v>Sarjapur Road</v>
      </c>
      <c r="B47" s="26">
        <f t="shared" si="0"/>
        <v>11</v>
      </c>
      <c r="C47" s="26">
        <f t="shared" si="1"/>
        <v>15</v>
      </c>
      <c r="D47" s="26">
        <f t="shared" si="2"/>
        <v>3</v>
      </c>
      <c r="E47" s="26">
        <f t="shared" si="3"/>
        <v>3</v>
      </c>
      <c r="F47" s="59">
        <f t="shared" si="4"/>
        <v>9.6666666666666661</v>
      </c>
    </row>
    <row r="48" spans="1:9" x14ac:dyDescent="0.2">
      <c r="A48" s="57" t="str">
        <v>Ulsoor</v>
      </c>
      <c r="B48" s="26" t="str">
        <f t="shared" si="0"/>
        <v>—</v>
      </c>
      <c r="C48" s="26" t="str">
        <f t="shared" si="1"/>
        <v>—</v>
      </c>
      <c r="D48" s="26">
        <f t="shared" si="2"/>
        <v>9</v>
      </c>
      <c r="E48" s="26">
        <f t="shared" si="3"/>
        <v>1</v>
      </c>
      <c r="F48" s="59" t="str">
        <f t="shared" si="4"/>
        <v>Insufficient data</v>
      </c>
    </row>
    <row r="49" spans="1:6" x14ac:dyDescent="0.2">
      <c r="A49" s="58" t="str">
        <v>Whitefield</v>
      </c>
      <c r="B49" s="28">
        <f t="shared" si="0"/>
        <v>1</v>
      </c>
      <c r="C49" s="28" t="str">
        <f t="shared" si="1"/>
        <v>—</v>
      </c>
      <c r="D49" s="28" t="str">
        <f t="shared" si="2"/>
        <v>—</v>
      </c>
      <c r="E49" s="28">
        <f t="shared" si="3"/>
        <v>1</v>
      </c>
      <c r="F49" s="60" t="str">
        <f t="shared" si="4"/>
        <v>Insufficient data</v>
      </c>
    </row>
  </sheetData>
  <mergeCells count="5">
    <mergeCell ref="A1:H1"/>
    <mergeCell ref="K1:S1"/>
    <mergeCell ref="V1:AE1"/>
    <mergeCell ref="A20:F20"/>
    <mergeCell ref="H20:K20"/>
  </mergeCells>
  <conditionalFormatting sqref="C4:C18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{BFF33445-5AFE-BA40-991B-4628F08A7B54}</x14:id>
        </ext>
      </extLst>
    </cfRule>
  </conditionalFormatting>
  <conditionalFormatting sqref="D4:D18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{31D2C4E2-C948-A746-8EF9-C49827D81E45}</x14:id>
        </ext>
      </extLst>
    </cfRule>
  </conditionalFormatting>
  <conditionalFormatting sqref="F4:F18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4:P18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4:S18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{4B4CBC63-CE8F-054A-8F18-53154514B71B}</x14:id>
        </ext>
      </extLst>
    </cfRule>
  </conditionalFormatting>
  <conditionalFormatting sqref="AB4:AB18">
    <cfRule type="dataBar" priority="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{9548DC1F-9103-EE47-B3A2-35E6842CF48E}</x14:id>
        </ext>
      </extLst>
    </cfRule>
  </conditionalFormatting>
  <conditionalFormatting sqref="AE4:AE18">
    <cfRule type="containsText" dxfId="16" priority="7" operator="containsText" text="Balanced">
      <formula>NOT(ISERROR(SEARCH("Balanced",AE4)))</formula>
    </cfRule>
  </conditionalFormatting>
  <conditionalFormatting sqref="AE4:AE18">
    <cfRule type="containsText" dxfId="15" priority="8" operator="containsText" text="Heavy Delivery">
      <formula>NOT(ISERROR(SEARCH("Heavy Delivery",AE4)))</formula>
    </cfRule>
  </conditionalFormatting>
  <conditionalFormatting sqref="I23:I37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FF33445-5AFE-BA40-991B-4628F08A7B54}">
            <x14:dataBar minLength="0" maxLength="100" border="1" direction="leftToRight" negativeBarColorSameAsPositive="1" axisPosition="none">
              <x14:cfvo type="min"/>
              <x14:cfvo type="max"/>
              <x14:borderColor rgb="FFD6007B"/>
            </x14:dataBar>
          </x14:cfRule>
          <xm:sqref>C4:C18</xm:sqref>
        </x14:conditionalFormatting>
        <x14:conditionalFormatting xmlns:xm="http://schemas.microsoft.com/office/excel/2006/main">
          <x14:cfRule type="dataBar" id="{31D2C4E2-C948-A746-8EF9-C49827D81E45}">
            <x14:dataBar minLength="0" maxLength="100" border="1" direction="leftToRight" negativeBarColorSameAsPositive="1" axisPosition="none">
              <x14:cfvo type="min"/>
              <x14:cfvo type="max"/>
              <x14:borderColor rgb="FF638EC6"/>
            </x14:dataBar>
          </x14:cfRule>
          <xm:sqref>D4:D18</xm:sqref>
        </x14:conditionalFormatting>
        <x14:conditionalFormatting xmlns:xm="http://schemas.microsoft.com/office/excel/2006/main">
          <x14:cfRule type="dataBar" id="{4B4CBC63-CE8F-054A-8F18-53154514B71B}">
            <x14:dataBar minLength="0" maxLength="100" border="1" direction="leftToRight" negativeBarColorSameAsPositive="1" axisPosition="none">
              <x14:cfvo type="min"/>
              <x14:cfvo type="max"/>
              <x14:borderColor rgb="FF63C384"/>
            </x14:dataBar>
          </x14:cfRule>
          <xm:sqref>S4:S18</xm:sqref>
        </x14:conditionalFormatting>
        <x14:conditionalFormatting xmlns:xm="http://schemas.microsoft.com/office/excel/2006/main">
          <x14:cfRule type="dataBar" id="{9548DC1F-9103-EE47-B3A2-35E6842CF48E}">
            <x14:dataBar minLength="0" maxLength="100" border="1" direction="leftToRight" negativeBarColorSameAsPositive="1" axisPosition="none">
              <x14:cfvo type="min"/>
              <x14:cfvo type="max"/>
              <x14:borderColor rgb="FFD6007B"/>
            </x14:dataBar>
          </x14:cfRule>
          <xm:sqref>AB4:AB18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5B971-6E9D-2345-B5EE-D6658D1BE69D}">
  <dimension ref="A1:AY25"/>
  <sheetViews>
    <sheetView workbookViewId="0">
      <pane ySplit="5" topLeftCell="A6" activePane="bottomLeft" state="frozen"/>
      <selection pane="bottomLeft" activeCell="Q29" sqref="Q29"/>
    </sheetView>
  </sheetViews>
  <sheetFormatPr baseColWidth="10" defaultRowHeight="16" x14ac:dyDescent="0.2"/>
  <cols>
    <col min="1" max="1" width="19.6640625" bestFit="1" customWidth="1"/>
    <col min="2" max="2" width="18.5" bestFit="1" customWidth="1"/>
    <col min="3" max="3" width="24.83203125" bestFit="1" customWidth="1"/>
    <col min="4" max="4" width="17.83203125" bestFit="1" customWidth="1"/>
    <col min="5" max="5" width="18.5" bestFit="1" customWidth="1"/>
    <col min="6" max="6" width="19" bestFit="1" customWidth="1"/>
    <col min="9" max="9" width="18.5" bestFit="1" customWidth="1"/>
    <col min="10" max="10" width="21.6640625" bestFit="1" customWidth="1"/>
    <col min="11" max="11" width="20" bestFit="1" customWidth="1"/>
    <col min="12" max="12" width="30.83203125" bestFit="1" customWidth="1"/>
    <col min="13" max="13" width="23.5" bestFit="1" customWidth="1"/>
    <col min="14" max="14" width="10.83203125" style="48"/>
    <col min="16" max="16" width="16.5" bestFit="1" customWidth="1"/>
    <col min="17" max="17" width="13.33203125" bestFit="1" customWidth="1"/>
    <col min="18" max="18" width="16.83203125" bestFit="1" customWidth="1"/>
    <col min="19" max="19" width="12" bestFit="1" customWidth="1"/>
    <col min="20" max="20" width="12.83203125" bestFit="1" customWidth="1"/>
    <col min="21" max="21" width="11" bestFit="1" customWidth="1"/>
    <col min="22" max="22" width="16.33203125" bestFit="1" customWidth="1"/>
    <col min="23" max="23" width="9.33203125" bestFit="1" customWidth="1"/>
    <col min="24" max="24" width="10.33203125" bestFit="1" customWidth="1"/>
    <col min="25" max="25" width="18" bestFit="1" customWidth="1"/>
    <col min="26" max="26" width="17.33203125" bestFit="1" customWidth="1"/>
    <col min="27" max="27" width="12.5" bestFit="1" customWidth="1"/>
    <col min="28" max="28" width="19.5" bestFit="1" customWidth="1"/>
    <col min="29" max="29" width="18" bestFit="1" customWidth="1"/>
    <col min="30" max="30" width="10.33203125" bestFit="1" customWidth="1"/>
    <col min="31" max="31" width="16" bestFit="1" customWidth="1"/>
    <col min="32" max="32" width="21.6640625" bestFit="1" customWidth="1"/>
    <col min="35" max="35" width="13.33203125" bestFit="1" customWidth="1"/>
    <col min="36" max="36" width="16.5" bestFit="1" customWidth="1"/>
    <col min="37" max="37" width="16.83203125" bestFit="1" customWidth="1"/>
    <col min="38" max="38" width="12" bestFit="1" customWidth="1"/>
    <col min="39" max="39" width="11" bestFit="1" customWidth="1"/>
    <col min="40" max="40" width="16.33203125" bestFit="1" customWidth="1"/>
    <col min="41" max="41" width="9.33203125" bestFit="1" customWidth="1"/>
    <col min="42" max="42" width="10.33203125" bestFit="1" customWidth="1"/>
    <col min="43" max="43" width="18" bestFit="1" customWidth="1"/>
    <col min="44" max="44" width="17.33203125" bestFit="1" customWidth="1"/>
    <col min="45" max="45" width="19.5" bestFit="1" customWidth="1"/>
    <col min="46" max="46" width="18" bestFit="1" customWidth="1"/>
    <col min="47" max="47" width="10.33203125" bestFit="1" customWidth="1"/>
    <col min="48" max="48" width="16" bestFit="1" customWidth="1"/>
    <col min="50" max="50" width="16.83203125" bestFit="1" customWidth="1"/>
    <col min="51" max="51" width="10.33203125" bestFit="1" customWidth="1"/>
  </cols>
  <sheetData>
    <row r="1" spans="1:51" ht="19" x14ac:dyDescent="0.25">
      <c r="A1" s="2" t="s">
        <v>127</v>
      </c>
      <c r="B1" s="2"/>
      <c r="C1" s="2"/>
      <c r="D1" s="2"/>
      <c r="E1" s="2"/>
      <c r="F1" s="2"/>
      <c r="G1" s="2"/>
      <c r="H1" s="2"/>
      <c r="P1" s="2" t="s">
        <v>128</v>
      </c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3" spans="1:51" x14ac:dyDescent="0.2">
      <c r="C3" s="3" t="s">
        <v>129</v>
      </c>
      <c r="K3" s="3" t="s">
        <v>130</v>
      </c>
      <c r="T3" s="3" t="s">
        <v>129</v>
      </c>
      <c r="AL3" s="3" t="s">
        <v>130</v>
      </c>
    </row>
    <row r="4" spans="1:51" x14ac:dyDescent="0.2">
      <c r="AD4" s="33"/>
      <c r="AE4" s="33"/>
      <c r="AF4" s="33"/>
      <c r="AU4" s="33"/>
      <c r="AV4" s="33"/>
      <c r="AX4" s="33"/>
      <c r="AY4" s="33"/>
    </row>
    <row r="5" spans="1:51" ht="19" x14ac:dyDescent="0.25">
      <c r="A5" s="14" t="s">
        <v>33</v>
      </c>
      <c r="B5" s="15" t="s">
        <v>131</v>
      </c>
      <c r="C5" s="15" t="s">
        <v>132</v>
      </c>
      <c r="D5" s="15" t="s">
        <v>43</v>
      </c>
      <c r="E5" s="15" t="s">
        <v>133</v>
      </c>
      <c r="F5" s="16" t="s">
        <v>134</v>
      </c>
      <c r="I5" s="14" t="s">
        <v>131</v>
      </c>
      <c r="J5" s="15" t="s">
        <v>135</v>
      </c>
      <c r="K5" s="15" t="s">
        <v>136</v>
      </c>
      <c r="L5" s="15" t="s">
        <v>137</v>
      </c>
      <c r="M5" s="16" t="s">
        <v>138</v>
      </c>
      <c r="P5" s="14" t="s">
        <v>139</v>
      </c>
      <c r="Q5" s="15" t="s">
        <v>140</v>
      </c>
      <c r="R5" s="15" t="s">
        <v>34</v>
      </c>
      <c r="S5" s="15" t="s">
        <v>141</v>
      </c>
      <c r="T5" s="15" t="s">
        <v>142</v>
      </c>
      <c r="U5" s="15" t="s">
        <v>58</v>
      </c>
      <c r="V5" s="15" t="s">
        <v>101</v>
      </c>
      <c r="W5" s="15" t="s">
        <v>95</v>
      </c>
      <c r="X5" s="15" t="s">
        <v>57</v>
      </c>
      <c r="Y5" s="15" t="s">
        <v>55</v>
      </c>
      <c r="Z5" s="15" t="s">
        <v>96</v>
      </c>
      <c r="AA5" s="15" t="s">
        <v>54</v>
      </c>
      <c r="AB5" s="15" t="s">
        <v>143</v>
      </c>
      <c r="AC5" s="15" t="s">
        <v>144</v>
      </c>
      <c r="AD5" s="24" t="s">
        <v>223</v>
      </c>
      <c r="AE5" s="24" t="s">
        <v>224</v>
      </c>
      <c r="AF5" s="32" t="s">
        <v>135</v>
      </c>
      <c r="AI5" s="14" t="s">
        <v>140</v>
      </c>
      <c r="AJ5" s="15" t="s">
        <v>139</v>
      </c>
      <c r="AK5" s="15" t="s">
        <v>34</v>
      </c>
      <c r="AL5" s="15" t="s">
        <v>141</v>
      </c>
      <c r="AM5" s="15" t="s">
        <v>58</v>
      </c>
      <c r="AN5" s="15" t="s">
        <v>101</v>
      </c>
      <c r="AO5" s="15" t="s">
        <v>95</v>
      </c>
      <c r="AP5" s="15" t="s">
        <v>57</v>
      </c>
      <c r="AQ5" s="15" t="s">
        <v>55</v>
      </c>
      <c r="AR5" s="15" t="s">
        <v>96</v>
      </c>
      <c r="AS5" s="15" t="s">
        <v>143</v>
      </c>
      <c r="AT5" s="15" t="s">
        <v>144</v>
      </c>
      <c r="AU5" s="24" t="s">
        <v>223</v>
      </c>
      <c r="AV5" s="32" t="s">
        <v>224</v>
      </c>
      <c r="AX5" s="68" t="s">
        <v>34</v>
      </c>
      <c r="AY5" s="32" t="s">
        <v>223</v>
      </c>
    </row>
    <row r="6" spans="1:51" x14ac:dyDescent="0.2">
      <c r="A6" s="7" t="s">
        <v>67</v>
      </c>
      <c r="B6" s="8" t="s">
        <v>17</v>
      </c>
      <c r="C6" s="36">
        <v>245</v>
      </c>
      <c r="D6" s="36">
        <v>812</v>
      </c>
      <c r="E6" s="34">
        <v>30.2</v>
      </c>
      <c r="F6" s="53">
        <v>3.51</v>
      </c>
      <c r="I6" s="7" t="s">
        <v>17</v>
      </c>
      <c r="J6" s="36">
        <v>62</v>
      </c>
      <c r="K6" s="34">
        <v>66.7</v>
      </c>
      <c r="L6" s="36">
        <v>2590</v>
      </c>
      <c r="M6" s="69">
        <v>42</v>
      </c>
      <c r="P6" s="7">
        <v>1</v>
      </c>
      <c r="Q6" s="8">
        <v>22</v>
      </c>
      <c r="R6" s="8" t="s">
        <v>17</v>
      </c>
      <c r="S6" s="36">
        <v>2930</v>
      </c>
      <c r="T6" s="36">
        <v>2210</v>
      </c>
      <c r="U6" s="49">
        <v>3.55</v>
      </c>
      <c r="V6" s="8">
        <v>-0.08</v>
      </c>
      <c r="W6" s="51">
        <v>540</v>
      </c>
      <c r="X6" s="36">
        <v>181</v>
      </c>
      <c r="Y6" s="34">
        <v>60.5</v>
      </c>
      <c r="Z6" s="34">
        <v>53.3</v>
      </c>
      <c r="AA6" s="34">
        <v>24.6</v>
      </c>
      <c r="AB6" s="8">
        <v>8.02</v>
      </c>
      <c r="AC6" s="8" t="s">
        <v>111</v>
      </c>
      <c r="AD6" s="26">
        <f>P6-Q6</f>
        <v>-21</v>
      </c>
      <c r="AE6" s="26" t="str">
        <f>IF(AD6&lt;=-15,"Overrated",IF(AD6&gt;=15,"Hidden gem","Balanced"))</f>
        <v>Overrated</v>
      </c>
      <c r="AF6" s="30">
        <f>IFERROR(INDEX($J$6:$J$15,MATCH(R6,$I$6:$I$15,0)),"—")</f>
        <v>62</v>
      </c>
      <c r="AI6" s="7">
        <v>1</v>
      </c>
      <c r="AJ6" s="8">
        <v>26</v>
      </c>
      <c r="AK6" s="8" t="s">
        <v>119</v>
      </c>
      <c r="AL6" s="36">
        <v>70</v>
      </c>
      <c r="AM6" s="49">
        <v>4.09</v>
      </c>
      <c r="AN6" s="8">
        <v>0.46</v>
      </c>
      <c r="AO6" s="51">
        <v>1141</v>
      </c>
      <c r="AP6" s="36">
        <v>700</v>
      </c>
      <c r="AQ6" s="34">
        <v>85.2</v>
      </c>
      <c r="AR6" s="34">
        <v>60</v>
      </c>
      <c r="AS6" s="8">
        <v>11.62</v>
      </c>
      <c r="AT6" s="8" t="s">
        <v>120</v>
      </c>
      <c r="AU6" s="26">
        <f>AJ6-AI6</f>
        <v>25</v>
      </c>
      <c r="AV6" s="30" t="str">
        <f>IF(AU6&lt;=-15,"Overrated",IF(AU6&gt;=15,"Hidden gem","Balanced"))</f>
        <v>Hidden gem</v>
      </c>
      <c r="AX6" s="38" t="str">
        <f>INDEX($R$6:$R$20,MATCH(SMALL($AD$6:$AD$20,1),$AD$6:$AD$20,0))</f>
        <v>Biryani</v>
      </c>
      <c r="AY6" s="39">
        <f>SMALL($AD$6:$AD$20,1)</f>
        <v>-24</v>
      </c>
    </row>
    <row r="7" spans="1:51" x14ac:dyDescent="0.2">
      <c r="A7" s="7" t="s">
        <v>19</v>
      </c>
      <c r="B7" s="8" t="s">
        <v>17</v>
      </c>
      <c r="C7" s="36">
        <v>200</v>
      </c>
      <c r="D7" s="36">
        <v>695</v>
      </c>
      <c r="E7" s="34">
        <v>28.8</v>
      </c>
      <c r="F7" s="53">
        <v>3.45</v>
      </c>
      <c r="I7" s="7" t="s">
        <v>104</v>
      </c>
      <c r="J7" s="36">
        <v>16</v>
      </c>
      <c r="K7" s="34">
        <v>17.2</v>
      </c>
      <c r="L7" s="36">
        <v>428</v>
      </c>
      <c r="M7" s="69">
        <v>27</v>
      </c>
      <c r="P7" s="7">
        <v>2</v>
      </c>
      <c r="Q7" s="8">
        <v>21</v>
      </c>
      <c r="R7" s="8" t="s">
        <v>104</v>
      </c>
      <c r="S7" s="36">
        <v>1440</v>
      </c>
      <c r="T7" s="36">
        <v>966</v>
      </c>
      <c r="U7" s="49">
        <v>3.57</v>
      </c>
      <c r="V7" s="8">
        <v>-0.06</v>
      </c>
      <c r="W7" s="51">
        <v>311</v>
      </c>
      <c r="X7" s="36">
        <v>82</v>
      </c>
      <c r="Y7" s="34">
        <v>62.9</v>
      </c>
      <c r="Z7" s="34">
        <v>39.200000000000003</v>
      </c>
      <c r="AA7" s="34">
        <v>32.9</v>
      </c>
      <c r="AB7" s="8">
        <v>6.85</v>
      </c>
      <c r="AC7" s="8" t="s">
        <v>111</v>
      </c>
      <c r="AD7" s="26">
        <f t="shared" ref="AD7:AD20" si="0">P7-Q7</f>
        <v>-19</v>
      </c>
      <c r="AE7" s="26" t="str">
        <f t="shared" ref="AE7:AE20" si="1">IF(AD7&lt;=-15,"Overrated",IF(AD7&gt;=15,"Hidden gem","Balanced"))</f>
        <v>Overrated</v>
      </c>
      <c r="AF7" s="30">
        <f t="shared" ref="AF7:AF20" si="2">IFERROR(INDEX($J$6:$J$15,MATCH(R7,$I$6:$I$15,0)),"—")</f>
        <v>16</v>
      </c>
      <c r="AI7" s="7">
        <v>2</v>
      </c>
      <c r="AJ7" s="8">
        <v>24</v>
      </c>
      <c r="AK7" s="8" t="s">
        <v>22</v>
      </c>
      <c r="AL7" s="36">
        <v>87</v>
      </c>
      <c r="AM7" s="49">
        <v>4.03</v>
      </c>
      <c r="AN7" s="8">
        <v>0.4</v>
      </c>
      <c r="AO7" s="51">
        <v>1010</v>
      </c>
      <c r="AP7" s="36">
        <v>1172</v>
      </c>
      <c r="AQ7" s="34">
        <v>89.7</v>
      </c>
      <c r="AR7" s="34">
        <v>62.1</v>
      </c>
      <c r="AS7" s="8">
        <v>12.38</v>
      </c>
      <c r="AT7" s="8" t="s">
        <v>120</v>
      </c>
      <c r="AU7" s="26">
        <f t="shared" ref="AU7:AU20" si="3">AJ7-AI7</f>
        <v>22</v>
      </c>
      <c r="AV7" s="30" t="str">
        <f t="shared" ref="AV7:AV20" si="4">IF(AU7&lt;=-15,"Overrated",IF(AU7&gt;=15,"Hidden gem","Balanced"))</f>
        <v>Hidden gem</v>
      </c>
      <c r="AX7" s="38" t="str">
        <f>INDEX($R$6:$R$20,MATCH(SMALL($AD$6:$AD$20,2),$AD$6:$AD$20,0))</f>
        <v>Fast Food</v>
      </c>
      <c r="AY7" s="39">
        <f>SMALL($AD$6:$AD$20,2)</f>
        <v>-23</v>
      </c>
    </row>
    <row r="8" spans="1:51" x14ac:dyDescent="0.2">
      <c r="A8" s="7" t="s">
        <v>68</v>
      </c>
      <c r="B8" s="8" t="s">
        <v>17</v>
      </c>
      <c r="C8" s="36">
        <v>214</v>
      </c>
      <c r="D8" s="36">
        <v>691</v>
      </c>
      <c r="E8" s="34">
        <v>31</v>
      </c>
      <c r="F8" s="53">
        <v>3.44</v>
      </c>
      <c r="I8" s="7" t="s">
        <v>106</v>
      </c>
      <c r="J8" s="36">
        <v>5</v>
      </c>
      <c r="K8" s="34">
        <v>5.4</v>
      </c>
      <c r="L8" s="36">
        <v>16</v>
      </c>
      <c r="M8" s="69">
        <v>3</v>
      </c>
      <c r="P8" s="7">
        <v>3</v>
      </c>
      <c r="Q8" s="8">
        <v>27</v>
      </c>
      <c r="R8" s="8" t="s">
        <v>109</v>
      </c>
      <c r="S8" s="36">
        <v>790</v>
      </c>
      <c r="T8" s="36">
        <v>543</v>
      </c>
      <c r="U8" s="49">
        <v>3.5</v>
      </c>
      <c r="V8" s="8">
        <v>-0.13</v>
      </c>
      <c r="W8" s="51">
        <v>403</v>
      </c>
      <c r="X8" s="36">
        <v>140</v>
      </c>
      <c r="Y8" s="34">
        <v>53.8</v>
      </c>
      <c r="Z8" s="34">
        <v>54.3</v>
      </c>
      <c r="AA8" s="34">
        <v>31.3</v>
      </c>
      <c r="AB8" s="8">
        <v>7.52</v>
      </c>
      <c r="AC8" s="8" t="s">
        <v>111</v>
      </c>
      <c r="AD8" s="26">
        <f t="shared" si="0"/>
        <v>-24</v>
      </c>
      <c r="AE8" s="26" t="str">
        <f t="shared" si="1"/>
        <v>Overrated</v>
      </c>
      <c r="AF8" s="30">
        <f t="shared" si="2"/>
        <v>1</v>
      </c>
      <c r="AI8" s="7">
        <v>3</v>
      </c>
      <c r="AJ8" s="8">
        <v>29</v>
      </c>
      <c r="AK8" s="8" t="s">
        <v>121</v>
      </c>
      <c r="AL8" s="36">
        <v>52</v>
      </c>
      <c r="AM8" s="49">
        <v>3.89</v>
      </c>
      <c r="AN8" s="8">
        <v>0.26</v>
      </c>
      <c r="AO8" s="51">
        <v>578</v>
      </c>
      <c r="AP8" s="36">
        <v>258</v>
      </c>
      <c r="AQ8" s="34">
        <v>89.6</v>
      </c>
      <c r="AR8" s="34">
        <v>50</v>
      </c>
      <c r="AS8" s="8">
        <v>9.4</v>
      </c>
      <c r="AT8" s="8" t="s">
        <v>112</v>
      </c>
      <c r="AU8" s="26">
        <f t="shared" si="3"/>
        <v>26</v>
      </c>
      <c r="AV8" s="30" t="str">
        <f t="shared" si="4"/>
        <v>Hidden gem</v>
      </c>
      <c r="AX8" s="38" t="str">
        <f>INDEX($R$6:$R$20,MATCH(SMALL($AD$6:$AD$20,3),$AD$6:$AD$20,0))</f>
        <v>North Indian</v>
      </c>
      <c r="AY8" s="39">
        <f>SMALL($AD$6:$AD$20,3)</f>
        <v>-21</v>
      </c>
    </row>
    <row r="9" spans="1:51" x14ac:dyDescent="0.2">
      <c r="A9" s="7" t="s">
        <v>69</v>
      </c>
      <c r="B9" s="8" t="s">
        <v>17</v>
      </c>
      <c r="C9" s="36">
        <v>166</v>
      </c>
      <c r="D9" s="36">
        <v>678</v>
      </c>
      <c r="E9" s="34">
        <v>24.5</v>
      </c>
      <c r="F9" s="53">
        <v>3.59</v>
      </c>
      <c r="I9" s="7" t="s">
        <v>14</v>
      </c>
      <c r="J9" s="36">
        <v>3</v>
      </c>
      <c r="K9" s="34">
        <v>3.2</v>
      </c>
      <c r="L9" s="36">
        <v>12</v>
      </c>
      <c r="M9" s="69">
        <v>4</v>
      </c>
      <c r="P9" s="7">
        <v>4</v>
      </c>
      <c r="Q9" s="8">
        <v>27</v>
      </c>
      <c r="R9" s="8" t="s">
        <v>106</v>
      </c>
      <c r="S9" s="36">
        <v>703</v>
      </c>
      <c r="T9" s="36">
        <v>493</v>
      </c>
      <c r="U9" s="49">
        <v>3.5</v>
      </c>
      <c r="V9" s="8">
        <v>-0.13</v>
      </c>
      <c r="W9" s="51">
        <v>297</v>
      </c>
      <c r="X9" s="36">
        <v>53</v>
      </c>
      <c r="Y9" s="34">
        <v>57.8</v>
      </c>
      <c r="Z9" s="34">
        <v>51.9</v>
      </c>
      <c r="AA9" s="34">
        <v>29.9</v>
      </c>
      <c r="AB9" s="8">
        <v>6.07</v>
      </c>
      <c r="AC9" s="8" t="s">
        <v>111</v>
      </c>
      <c r="AD9" s="26">
        <f t="shared" si="0"/>
        <v>-23</v>
      </c>
      <c r="AE9" s="26" t="str">
        <f t="shared" si="1"/>
        <v>Overrated</v>
      </c>
      <c r="AF9" s="30">
        <f t="shared" si="2"/>
        <v>5</v>
      </c>
      <c r="AI9" s="7">
        <v>3</v>
      </c>
      <c r="AJ9" s="8">
        <v>10</v>
      </c>
      <c r="AK9" s="8" t="s">
        <v>2</v>
      </c>
      <c r="AL9" s="36">
        <v>330</v>
      </c>
      <c r="AM9" s="49">
        <v>3.89</v>
      </c>
      <c r="AN9" s="8">
        <v>0.26</v>
      </c>
      <c r="AO9" s="51">
        <v>1030</v>
      </c>
      <c r="AP9" s="36">
        <v>631</v>
      </c>
      <c r="AQ9" s="34">
        <v>86</v>
      </c>
      <c r="AR9" s="34">
        <v>42.7</v>
      </c>
      <c r="AS9" s="8">
        <v>10.89</v>
      </c>
      <c r="AT9" s="8" t="s">
        <v>112</v>
      </c>
      <c r="AU9" s="26">
        <f t="shared" si="3"/>
        <v>7</v>
      </c>
      <c r="AV9" s="30" t="str">
        <f t="shared" si="4"/>
        <v>Balanced</v>
      </c>
      <c r="AX9" s="38" t="str">
        <f>INDEX($R$6:$R$20,MATCH(SMALL($AD$6:$AD$20,4),$AD$6:$AD$20,0))</f>
        <v>South Indian</v>
      </c>
      <c r="AY9" s="39">
        <f>SMALL($AD$6:$AD$20,4)</f>
        <v>-19</v>
      </c>
    </row>
    <row r="10" spans="1:51" x14ac:dyDescent="0.2">
      <c r="A10" s="7" t="s">
        <v>9</v>
      </c>
      <c r="B10" s="8" t="s">
        <v>17</v>
      </c>
      <c r="C10" s="36">
        <v>232</v>
      </c>
      <c r="D10" s="36">
        <v>651</v>
      </c>
      <c r="E10" s="34">
        <v>35.6</v>
      </c>
      <c r="F10" s="53">
        <v>3.5</v>
      </c>
      <c r="I10" s="7" t="s">
        <v>107</v>
      </c>
      <c r="J10" s="36">
        <v>2</v>
      </c>
      <c r="K10" s="34">
        <v>2.2000000000000002</v>
      </c>
      <c r="L10" s="36">
        <v>3</v>
      </c>
      <c r="M10" s="69">
        <v>2</v>
      </c>
      <c r="P10" s="7">
        <v>5</v>
      </c>
      <c r="Q10" s="8">
        <v>19</v>
      </c>
      <c r="R10" s="8" t="s">
        <v>107</v>
      </c>
      <c r="S10" s="36">
        <v>686</v>
      </c>
      <c r="T10" s="36">
        <v>538</v>
      </c>
      <c r="U10" s="49">
        <v>3.58</v>
      </c>
      <c r="V10" s="8">
        <v>-0.05</v>
      </c>
      <c r="W10" s="51">
        <v>545</v>
      </c>
      <c r="X10" s="36">
        <v>166</v>
      </c>
      <c r="Y10" s="34">
        <v>62.5</v>
      </c>
      <c r="Z10" s="34">
        <v>57</v>
      </c>
      <c r="AA10" s="34">
        <v>21.6</v>
      </c>
      <c r="AB10" s="8">
        <v>7.96</v>
      </c>
      <c r="AC10" s="8" t="s">
        <v>111</v>
      </c>
      <c r="AD10" s="26">
        <f t="shared" si="0"/>
        <v>-14</v>
      </c>
      <c r="AE10" s="26" t="str">
        <f t="shared" si="1"/>
        <v>Balanced</v>
      </c>
      <c r="AF10" s="30">
        <f t="shared" si="2"/>
        <v>2</v>
      </c>
      <c r="AI10" s="7">
        <v>5</v>
      </c>
      <c r="AJ10" s="8">
        <v>17</v>
      </c>
      <c r="AK10" s="8" t="s">
        <v>7</v>
      </c>
      <c r="AL10" s="36">
        <v>132</v>
      </c>
      <c r="AM10" s="49">
        <v>3.84</v>
      </c>
      <c r="AN10" s="8">
        <v>0.21</v>
      </c>
      <c r="AO10" s="51">
        <v>965</v>
      </c>
      <c r="AP10" s="36">
        <v>584</v>
      </c>
      <c r="AQ10" s="34">
        <v>85.6</v>
      </c>
      <c r="AR10" s="34">
        <v>59.1</v>
      </c>
      <c r="AS10" s="8">
        <v>10.62</v>
      </c>
      <c r="AT10" s="8" t="s">
        <v>112</v>
      </c>
      <c r="AU10" s="26">
        <f t="shared" si="3"/>
        <v>12</v>
      </c>
      <c r="AV10" s="30" t="str">
        <f t="shared" si="4"/>
        <v>Balanced</v>
      </c>
      <c r="AX10" s="38" t="str" cm="1">
        <f t="array" ref="AX10">INDEX(_xlfn.SORTBY($R$6:$R$20,$AD$6:$AD$20,-1),4)</f>
        <v>Pizza</v>
      </c>
      <c r="AY10" s="39" cm="1">
        <f t="array" ref="AY10">INDEX(_xlfn.SORTBY($AD$6:$AD$20,$AD$6:$AD$20,-1),4)</f>
        <v>1</v>
      </c>
    </row>
    <row r="11" spans="1:51" x14ac:dyDescent="0.2">
      <c r="A11" s="7" t="s">
        <v>6</v>
      </c>
      <c r="B11" s="8" t="s">
        <v>17</v>
      </c>
      <c r="C11" s="36">
        <v>95</v>
      </c>
      <c r="D11" s="36">
        <v>520</v>
      </c>
      <c r="E11" s="34">
        <v>18.3</v>
      </c>
      <c r="F11" s="53">
        <v>3.69</v>
      </c>
      <c r="I11" s="7" t="s">
        <v>2</v>
      </c>
      <c r="J11" s="36">
        <v>1</v>
      </c>
      <c r="K11" s="34">
        <v>1.1000000000000001</v>
      </c>
      <c r="L11" s="36">
        <v>1</v>
      </c>
      <c r="M11" s="69">
        <v>1</v>
      </c>
      <c r="P11" s="7">
        <v>6</v>
      </c>
      <c r="Q11" s="8">
        <v>9</v>
      </c>
      <c r="R11" s="8" t="s">
        <v>14</v>
      </c>
      <c r="S11" s="36">
        <v>595</v>
      </c>
      <c r="T11" s="36">
        <v>539</v>
      </c>
      <c r="U11" s="49">
        <v>3.78</v>
      </c>
      <c r="V11" s="8">
        <v>0.15</v>
      </c>
      <c r="W11" s="51">
        <v>603</v>
      </c>
      <c r="X11" s="36">
        <v>317</v>
      </c>
      <c r="Y11" s="34">
        <v>80</v>
      </c>
      <c r="Z11" s="34">
        <v>53.3</v>
      </c>
      <c r="AA11" s="34">
        <v>9.4</v>
      </c>
      <c r="AB11" s="8">
        <v>9.4700000000000006</v>
      </c>
      <c r="AC11" s="8" t="s">
        <v>112</v>
      </c>
      <c r="AD11" s="26">
        <f t="shared" si="0"/>
        <v>-3</v>
      </c>
      <c r="AE11" s="26" t="str">
        <f t="shared" si="1"/>
        <v>Balanced</v>
      </c>
      <c r="AF11" s="30">
        <f t="shared" si="2"/>
        <v>3</v>
      </c>
      <c r="AI11" s="7">
        <v>5</v>
      </c>
      <c r="AJ11" s="8">
        <v>22</v>
      </c>
      <c r="AK11" s="8" t="s">
        <v>122</v>
      </c>
      <c r="AL11" s="36">
        <v>103</v>
      </c>
      <c r="AM11" s="49">
        <v>3.84</v>
      </c>
      <c r="AN11" s="8">
        <v>0.21</v>
      </c>
      <c r="AO11" s="51">
        <v>1468</v>
      </c>
      <c r="AP11" s="36">
        <v>420</v>
      </c>
      <c r="AQ11" s="34">
        <v>85.7</v>
      </c>
      <c r="AR11" s="34">
        <v>15.5</v>
      </c>
      <c r="AS11" s="8">
        <v>10.09</v>
      </c>
      <c r="AT11" s="8" t="s">
        <v>112</v>
      </c>
      <c r="AU11" s="26">
        <f t="shared" si="3"/>
        <v>17</v>
      </c>
      <c r="AV11" s="30" t="str">
        <f t="shared" si="4"/>
        <v>Hidden gem</v>
      </c>
      <c r="AX11" s="38" t="str" cm="1">
        <f t="array" ref="AX11">INDEX(_xlfn.SORTBY($R$6:$R$20,$AD$6:$AD$20,-1),3)</f>
        <v>Desserts</v>
      </c>
      <c r="AY11" s="39" cm="1">
        <f t="array" ref="AY11">INDEX(_xlfn.SORTBY($AD$6:$AD$20,$AD$6:$AD$20,-1),3)</f>
        <v>1</v>
      </c>
    </row>
    <row r="12" spans="1:51" x14ac:dyDescent="0.2">
      <c r="A12" s="7" t="s">
        <v>70</v>
      </c>
      <c r="B12" s="8" t="s">
        <v>17</v>
      </c>
      <c r="C12" s="36">
        <v>119</v>
      </c>
      <c r="D12" s="36">
        <v>498</v>
      </c>
      <c r="E12" s="34">
        <v>23.9</v>
      </c>
      <c r="F12" s="53">
        <v>3.59</v>
      </c>
      <c r="I12" s="7" t="s">
        <v>108</v>
      </c>
      <c r="J12" s="36">
        <v>1</v>
      </c>
      <c r="K12" s="34">
        <v>1.1000000000000001</v>
      </c>
      <c r="L12" s="36">
        <v>1</v>
      </c>
      <c r="M12" s="69">
        <v>1</v>
      </c>
      <c r="P12" s="7">
        <v>7</v>
      </c>
      <c r="Q12" s="8">
        <v>18</v>
      </c>
      <c r="R12" s="8" t="s">
        <v>113</v>
      </c>
      <c r="S12" s="36">
        <v>564</v>
      </c>
      <c r="T12" s="36">
        <v>377</v>
      </c>
      <c r="U12" s="49">
        <v>3.6</v>
      </c>
      <c r="V12" s="8">
        <v>-0.03</v>
      </c>
      <c r="W12" s="51">
        <v>389</v>
      </c>
      <c r="X12" s="36">
        <v>55</v>
      </c>
      <c r="Y12" s="34">
        <v>65.8</v>
      </c>
      <c r="Z12" s="34">
        <v>41.7</v>
      </c>
      <c r="AA12" s="34">
        <v>33.200000000000003</v>
      </c>
      <c r="AB12" s="8">
        <v>6.3</v>
      </c>
      <c r="AC12" s="8" t="s">
        <v>111</v>
      </c>
      <c r="AD12" s="26">
        <f t="shared" si="0"/>
        <v>-11</v>
      </c>
      <c r="AE12" s="26" t="str">
        <f t="shared" si="1"/>
        <v>Balanced</v>
      </c>
      <c r="AF12" s="30" t="str">
        <f t="shared" si="2"/>
        <v>—</v>
      </c>
      <c r="AI12" s="7">
        <v>7</v>
      </c>
      <c r="AJ12" s="8">
        <v>8</v>
      </c>
      <c r="AK12" s="8" t="s">
        <v>110</v>
      </c>
      <c r="AL12" s="36">
        <v>451</v>
      </c>
      <c r="AM12" s="49">
        <v>3.82</v>
      </c>
      <c r="AN12" s="8">
        <v>0.19</v>
      </c>
      <c r="AO12" s="51">
        <v>365</v>
      </c>
      <c r="AP12" s="36">
        <v>111</v>
      </c>
      <c r="AQ12" s="34">
        <v>83.9</v>
      </c>
      <c r="AR12" s="34">
        <v>57.9</v>
      </c>
      <c r="AS12" s="8">
        <v>7.84</v>
      </c>
      <c r="AT12" s="8" t="s">
        <v>112</v>
      </c>
      <c r="AU12" s="26">
        <f t="shared" si="3"/>
        <v>1</v>
      </c>
      <c r="AV12" s="30" t="str">
        <f t="shared" si="4"/>
        <v>Balanced</v>
      </c>
      <c r="AX12" s="38" t="str" cm="1">
        <f t="array" ref="AX12">INDEX(_xlfn.SORTBY($R$6:$R$20,$AD$6:$AD$20,-1),2)</f>
        <v>Ice Cream</v>
      </c>
      <c r="AY12" s="39" cm="1">
        <f t="array" ref="AY12">INDEX(_xlfn.SORTBY($AD$6:$AD$20,$AD$6:$AD$20,-1),2)</f>
        <v>3</v>
      </c>
    </row>
    <row r="13" spans="1:51" x14ac:dyDescent="0.2">
      <c r="A13" s="7" t="s">
        <v>71</v>
      </c>
      <c r="B13" s="8" t="s">
        <v>17</v>
      </c>
      <c r="C13" s="36">
        <v>111</v>
      </c>
      <c r="D13" s="36">
        <v>445</v>
      </c>
      <c r="E13" s="34">
        <v>24.9</v>
      </c>
      <c r="F13" s="53">
        <v>3.42</v>
      </c>
      <c r="I13" s="7" t="s">
        <v>109</v>
      </c>
      <c r="J13" s="36">
        <v>1</v>
      </c>
      <c r="K13" s="34">
        <v>1.1000000000000001</v>
      </c>
      <c r="L13" s="36">
        <v>1</v>
      </c>
      <c r="M13" s="69">
        <v>1</v>
      </c>
      <c r="P13" s="7">
        <v>8</v>
      </c>
      <c r="Q13" s="8">
        <v>7</v>
      </c>
      <c r="R13" s="8" t="s">
        <v>110</v>
      </c>
      <c r="S13" s="36">
        <v>451</v>
      </c>
      <c r="T13" s="36">
        <v>353</v>
      </c>
      <c r="U13" s="49">
        <v>3.82</v>
      </c>
      <c r="V13" s="8">
        <v>0.19</v>
      </c>
      <c r="W13" s="51">
        <v>365</v>
      </c>
      <c r="X13" s="36">
        <v>111</v>
      </c>
      <c r="Y13" s="34">
        <v>83.9</v>
      </c>
      <c r="Z13" s="34">
        <v>57.9</v>
      </c>
      <c r="AA13" s="34">
        <v>21.7</v>
      </c>
      <c r="AB13" s="8">
        <v>7.84</v>
      </c>
      <c r="AC13" s="8" t="s">
        <v>112</v>
      </c>
      <c r="AD13" s="26">
        <f t="shared" si="0"/>
        <v>1</v>
      </c>
      <c r="AE13" s="26" t="str">
        <f t="shared" si="1"/>
        <v>Balanced</v>
      </c>
      <c r="AF13" s="30">
        <f t="shared" si="2"/>
        <v>1</v>
      </c>
      <c r="AI13" s="7">
        <v>8</v>
      </c>
      <c r="AJ13" s="8">
        <v>25</v>
      </c>
      <c r="AK13" s="8" t="s">
        <v>123</v>
      </c>
      <c r="AL13" s="36">
        <v>75</v>
      </c>
      <c r="AM13" s="49">
        <v>3.8</v>
      </c>
      <c r="AN13" s="8">
        <v>0.17</v>
      </c>
      <c r="AO13" s="51">
        <v>697</v>
      </c>
      <c r="AP13" s="36">
        <v>213</v>
      </c>
      <c r="AQ13" s="34">
        <v>83.1</v>
      </c>
      <c r="AR13" s="34">
        <v>70.7</v>
      </c>
      <c r="AS13" s="8">
        <v>8.85</v>
      </c>
      <c r="AT13" s="8" t="s">
        <v>112</v>
      </c>
      <c r="AU13" s="26">
        <f t="shared" si="3"/>
        <v>17</v>
      </c>
      <c r="AV13" s="30" t="str">
        <f t="shared" si="4"/>
        <v>Hidden gem</v>
      </c>
      <c r="AX13" s="40" t="str" cm="1">
        <f t="array" ref="AX13">INDEX(_xlfn.SORTBY($R$6:$R$20,$AD$6:$AD$20,-1),1)</f>
        <v>Continental</v>
      </c>
      <c r="AY13" s="41" cm="1">
        <f t="array" ref="AY13">INDEX(_xlfn.SORTBY($AD$6:$AD$20,$AD$6:$AD$20,-1),1)</f>
        <v>7</v>
      </c>
    </row>
    <row r="14" spans="1:51" x14ac:dyDescent="0.2">
      <c r="A14" s="7" t="s">
        <v>72</v>
      </c>
      <c r="B14" s="8" t="s">
        <v>17</v>
      </c>
      <c r="C14" s="36">
        <v>61</v>
      </c>
      <c r="D14" s="36">
        <v>351</v>
      </c>
      <c r="E14" s="34">
        <v>17.399999999999999</v>
      </c>
      <c r="F14" s="53">
        <v>3.77</v>
      </c>
      <c r="I14" s="7" t="s">
        <v>22</v>
      </c>
      <c r="J14" s="36">
        <v>1</v>
      </c>
      <c r="K14" s="34">
        <v>1.1000000000000001</v>
      </c>
      <c r="L14" s="36">
        <v>3</v>
      </c>
      <c r="M14" s="69">
        <v>3</v>
      </c>
      <c r="P14" s="7">
        <v>9</v>
      </c>
      <c r="Q14" s="8">
        <v>12</v>
      </c>
      <c r="R14" s="8" t="s">
        <v>114</v>
      </c>
      <c r="S14" s="36">
        <v>341</v>
      </c>
      <c r="T14" s="36">
        <v>251</v>
      </c>
      <c r="U14" s="49">
        <v>3.67</v>
      </c>
      <c r="V14" s="8">
        <v>0.04</v>
      </c>
      <c r="W14" s="51">
        <v>261</v>
      </c>
      <c r="X14" s="36">
        <v>43</v>
      </c>
      <c r="Y14" s="34">
        <v>72.900000000000006</v>
      </c>
      <c r="Z14" s="34">
        <v>67.400000000000006</v>
      </c>
      <c r="AA14" s="34">
        <v>26.4</v>
      </c>
      <c r="AB14" s="8">
        <v>6.04</v>
      </c>
      <c r="AC14" s="8" t="s">
        <v>111</v>
      </c>
      <c r="AD14" s="26">
        <f t="shared" si="0"/>
        <v>-3</v>
      </c>
      <c r="AE14" s="26" t="str">
        <f t="shared" si="1"/>
        <v>Balanced</v>
      </c>
      <c r="AF14" s="30" t="str">
        <f t="shared" si="2"/>
        <v>—</v>
      </c>
      <c r="AI14" s="7">
        <v>9</v>
      </c>
      <c r="AJ14" s="8">
        <v>12</v>
      </c>
      <c r="AK14" s="8" t="s">
        <v>115</v>
      </c>
      <c r="AL14" s="36">
        <v>250</v>
      </c>
      <c r="AM14" s="49">
        <v>3.78</v>
      </c>
      <c r="AN14" s="8">
        <v>0.15</v>
      </c>
      <c r="AO14" s="51">
        <v>281</v>
      </c>
      <c r="AP14" s="36">
        <v>149</v>
      </c>
      <c r="AQ14" s="34">
        <v>73.7</v>
      </c>
      <c r="AR14" s="34">
        <v>50.8</v>
      </c>
      <c r="AS14" s="8">
        <v>8.2200000000000006</v>
      </c>
      <c r="AT14" s="8" t="s">
        <v>112</v>
      </c>
      <c r="AU14" s="26">
        <f t="shared" si="3"/>
        <v>3</v>
      </c>
      <c r="AV14" s="30" t="str">
        <f t="shared" si="4"/>
        <v>Balanced</v>
      </c>
    </row>
    <row r="15" spans="1:51" x14ac:dyDescent="0.2">
      <c r="A15" s="7" t="s">
        <v>73</v>
      </c>
      <c r="B15" s="8" t="s">
        <v>17</v>
      </c>
      <c r="C15" s="36">
        <v>117</v>
      </c>
      <c r="D15" s="36">
        <v>346</v>
      </c>
      <c r="E15" s="34">
        <v>33.799999999999997</v>
      </c>
      <c r="F15" s="53">
        <v>3.43</v>
      </c>
      <c r="I15" s="10" t="s">
        <v>110</v>
      </c>
      <c r="J15" s="37">
        <v>1</v>
      </c>
      <c r="K15" s="35">
        <v>1.1000000000000001</v>
      </c>
      <c r="L15" s="37">
        <v>6</v>
      </c>
      <c r="M15" s="70">
        <v>6</v>
      </c>
      <c r="P15" s="7">
        <v>10</v>
      </c>
      <c r="Q15" s="8">
        <v>3</v>
      </c>
      <c r="R15" s="8" t="s">
        <v>2</v>
      </c>
      <c r="S15" s="36">
        <v>330</v>
      </c>
      <c r="T15" s="36">
        <v>285</v>
      </c>
      <c r="U15" s="49">
        <v>3.89</v>
      </c>
      <c r="V15" s="8">
        <v>0.26</v>
      </c>
      <c r="W15" s="51">
        <v>1030</v>
      </c>
      <c r="X15" s="36">
        <v>631</v>
      </c>
      <c r="Y15" s="34">
        <v>86</v>
      </c>
      <c r="Z15" s="34">
        <v>42.7</v>
      </c>
      <c r="AA15" s="34">
        <v>13.6</v>
      </c>
      <c r="AB15" s="8">
        <v>10.89</v>
      </c>
      <c r="AC15" s="8" t="s">
        <v>112</v>
      </c>
      <c r="AD15" s="26">
        <f t="shared" si="0"/>
        <v>7</v>
      </c>
      <c r="AE15" s="26" t="str">
        <f t="shared" si="1"/>
        <v>Balanced</v>
      </c>
      <c r="AF15" s="30">
        <f t="shared" si="2"/>
        <v>1</v>
      </c>
      <c r="AI15" s="7">
        <v>9</v>
      </c>
      <c r="AJ15" s="8">
        <v>6</v>
      </c>
      <c r="AK15" s="8" t="s">
        <v>14</v>
      </c>
      <c r="AL15" s="36">
        <v>595</v>
      </c>
      <c r="AM15" s="49">
        <v>3.78</v>
      </c>
      <c r="AN15" s="8">
        <v>0.15</v>
      </c>
      <c r="AO15" s="51">
        <v>603</v>
      </c>
      <c r="AP15" s="36">
        <v>317</v>
      </c>
      <c r="AQ15" s="34">
        <v>80</v>
      </c>
      <c r="AR15" s="34">
        <v>53.3</v>
      </c>
      <c r="AS15" s="8">
        <v>9.4700000000000006</v>
      </c>
      <c r="AT15" s="8" t="s">
        <v>112</v>
      </c>
      <c r="AU15" s="26">
        <f t="shared" si="3"/>
        <v>-3</v>
      </c>
      <c r="AV15" s="30" t="str">
        <f t="shared" si="4"/>
        <v>Balanced</v>
      </c>
    </row>
    <row r="16" spans="1:51" x14ac:dyDescent="0.2">
      <c r="A16" s="7" t="s">
        <v>1</v>
      </c>
      <c r="B16" s="8" t="s">
        <v>17</v>
      </c>
      <c r="C16" s="36">
        <v>89</v>
      </c>
      <c r="D16" s="36">
        <v>321</v>
      </c>
      <c r="E16" s="34">
        <v>27.7</v>
      </c>
      <c r="F16" s="53">
        <v>3.53</v>
      </c>
      <c r="P16" s="7">
        <v>11</v>
      </c>
      <c r="Q16" s="8">
        <v>25</v>
      </c>
      <c r="R16" s="8" t="s">
        <v>108</v>
      </c>
      <c r="S16" s="36">
        <v>323</v>
      </c>
      <c r="T16" s="36">
        <v>253</v>
      </c>
      <c r="U16" s="49">
        <v>3.52</v>
      </c>
      <c r="V16" s="8">
        <v>-0.11</v>
      </c>
      <c r="W16" s="51">
        <v>515</v>
      </c>
      <c r="X16" s="36">
        <v>163</v>
      </c>
      <c r="Y16" s="34">
        <v>62.1</v>
      </c>
      <c r="Z16" s="34">
        <v>53.3</v>
      </c>
      <c r="AA16" s="34">
        <v>21.7</v>
      </c>
      <c r="AB16" s="8">
        <v>7.81</v>
      </c>
      <c r="AC16" s="8" t="s">
        <v>111</v>
      </c>
      <c r="AD16" s="26">
        <f t="shared" si="0"/>
        <v>-14</v>
      </c>
      <c r="AE16" s="26" t="str">
        <f t="shared" si="1"/>
        <v>Balanced</v>
      </c>
      <c r="AF16" s="30">
        <f t="shared" si="2"/>
        <v>1</v>
      </c>
      <c r="AI16" s="7">
        <v>11</v>
      </c>
      <c r="AJ16" s="8">
        <v>20</v>
      </c>
      <c r="AK16" s="8" t="s">
        <v>124</v>
      </c>
      <c r="AL16" s="36">
        <v>110</v>
      </c>
      <c r="AM16" s="49">
        <v>3.72</v>
      </c>
      <c r="AN16" s="8">
        <v>0.09</v>
      </c>
      <c r="AO16" s="51">
        <v>469</v>
      </c>
      <c r="AP16" s="36">
        <v>175</v>
      </c>
      <c r="AQ16" s="34">
        <v>72.099999999999994</v>
      </c>
      <c r="AR16" s="34">
        <v>68.2</v>
      </c>
      <c r="AS16" s="8">
        <v>8.36</v>
      </c>
      <c r="AT16" s="8" t="s">
        <v>112</v>
      </c>
      <c r="AU16" s="26">
        <f t="shared" si="3"/>
        <v>9</v>
      </c>
      <c r="AV16" s="30" t="str">
        <f t="shared" si="4"/>
        <v>Balanced</v>
      </c>
    </row>
    <row r="17" spans="1:48" x14ac:dyDescent="0.2">
      <c r="A17" s="7" t="s">
        <v>74</v>
      </c>
      <c r="B17" s="8" t="s">
        <v>17</v>
      </c>
      <c r="C17" s="36">
        <v>75</v>
      </c>
      <c r="D17" s="36">
        <v>300</v>
      </c>
      <c r="E17" s="34">
        <v>25</v>
      </c>
      <c r="F17" s="53">
        <v>3.59</v>
      </c>
      <c r="P17" s="7">
        <v>12</v>
      </c>
      <c r="Q17" s="8">
        <v>9</v>
      </c>
      <c r="R17" s="8" t="s">
        <v>115</v>
      </c>
      <c r="S17" s="36">
        <v>250</v>
      </c>
      <c r="T17" s="36">
        <v>209</v>
      </c>
      <c r="U17" s="49">
        <v>3.78</v>
      </c>
      <c r="V17" s="8">
        <v>0.15</v>
      </c>
      <c r="W17" s="51">
        <v>281</v>
      </c>
      <c r="X17" s="36">
        <v>149</v>
      </c>
      <c r="Y17" s="34">
        <v>73.7</v>
      </c>
      <c r="Z17" s="34">
        <v>50.8</v>
      </c>
      <c r="AA17" s="34">
        <v>16.399999999999999</v>
      </c>
      <c r="AB17" s="8">
        <v>8.2200000000000006</v>
      </c>
      <c r="AC17" s="8" t="s">
        <v>112</v>
      </c>
      <c r="AD17" s="26">
        <f t="shared" si="0"/>
        <v>3</v>
      </c>
      <c r="AE17" s="26" t="str">
        <f t="shared" si="1"/>
        <v>Balanced</v>
      </c>
      <c r="AF17" s="30" t="str">
        <f t="shared" si="2"/>
        <v>—</v>
      </c>
      <c r="AI17" s="7">
        <v>12</v>
      </c>
      <c r="AJ17" s="8">
        <v>9</v>
      </c>
      <c r="AK17" s="8" t="s">
        <v>114</v>
      </c>
      <c r="AL17" s="36">
        <v>341</v>
      </c>
      <c r="AM17" s="49">
        <v>3.67</v>
      </c>
      <c r="AN17" s="8">
        <v>0.04</v>
      </c>
      <c r="AO17" s="51">
        <v>261</v>
      </c>
      <c r="AP17" s="36">
        <v>43</v>
      </c>
      <c r="AQ17" s="34">
        <v>72.900000000000006</v>
      </c>
      <c r="AR17" s="34">
        <v>67.400000000000006</v>
      </c>
      <c r="AS17" s="8">
        <v>6.04</v>
      </c>
      <c r="AT17" s="8" t="s">
        <v>111</v>
      </c>
      <c r="AU17" s="26">
        <f t="shared" si="3"/>
        <v>-3</v>
      </c>
      <c r="AV17" s="30" t="str">
        <f t="shared" si="4"/>
        <v>Balanced</v>
      </c>
    </row>
    <row r="18" spans="1:48" x14ac:dyDescent="0.2">
      <c r="A18" s="7" t="s">
        <v>75</v>
      </c>
      <c r="B18" s="8" t="s">
        <v>104</v>
      </c>
      <c r="C18" s="36">
        <v>69</v>
      </c>
      <c r="D18" s="36">
        <v>282</v>
      </c>
      <c r="E18" s="34">
        <v>24.5</v>
      </c>
      <c r="F18" s="53">
        <v>3.72</v>
      </c>
      <c r="P18" s="7">
        <v>13</v>
      </c>
      <c r="Q18" s="8">
        <v>16</v>
      </c>
      <c r="R18" s="8" t="s">
        <v>116</v>
      </c>
      <c r="S18" s="36">
        <v>237</v>
      </c>
      <c r="T18" s="36">
        <v>188</v>
      </c>
      <c r="U18" s="49">
        <v>3.61</v>
      </c>
      <c r="V18" s="8">
        <v>-0.02</v>
      </c>
      <c r="W18" s="51">
        <v>214</v>
      </c>
      <c r="X18" s="36">
        <v>91</v>
      </c>
      <c r="Y18" s="34">
        <v>64.900000000000006</v>
      </c>
      <c r="Z18" s="34">
        <v>48.9</v>
      </c>
      <c r="AA18" s="34">
        <v>20.7</v>
      </c>
      <c r="AB18" s="8">
        <v>7.08</v>
      </c>
      <c r="AC18" s="8" t="s">
        <v>111</v>
      </c>
      <c r="AD18" s="26">
        <f t="shared" si="0"/>
        <v>-3</v>
      </c>
      <c r="AE18" s="26" t="str">
        <f t="shared" si="1"/>
        <v>Balanced</v>
      </c>
      <c r="AF18" s="30" t="str">
        <f t="shared" si="2"/>
        <v>—</v>
      </c>
      <c r="AI18" s="7">
        <v>12</v>
      </c>
      <c r="AJ18" s="8">
        <v>19</v>
      </c>
      <c r="AK18" s="8" t="s">
        <v>125</v>
      </c>
      <c r="AL18" s="36">
        <v>125</v>
      </c>
      <c r="AM18" s="49">
        <v>3.67</v>
      </c>
      <c r="AN18" s="8">
        <v>0.04</v>
      </c>
      <c r="AO18" s="51">
        <v>452</v>
      </c>
      <c r="AP18" s="36">
        <v>254</v>
      </c>
      <c r="AQ18" s="34">
        <v>72.8</v>
      </c>
      <c r="AR18" s="34">
        <v>90.4</v>
      </c>
      <c r="AS18" s="8">
        <v>8.83</v>
      </c>
      <c r="AT18" s="8" t="s">
        <v>111</v>
      </c>
      <c r="AU18" s="26">
        <f t="shared" si="3"/>
        <v>7</v>
      </c>
      <c r="AV18" s="30" t="str">
        <f t="shared" si="4"/>
        <v>Balanced</v>
      </c>
    </row>
    <row r="19" spans="1:48" x14ac:dyDescent="0.2">
      <c r="A19" s="7" t="s">
        <v>13</v>
      </c>
      <c r="B19" s="8" t="s">
        <v>17</v>
      </c>
      <c r="C19" s="36">
        <v>38</v>
      </c>
      <c r="D19" s="36">
        <v>263</v>
      </c>
      <c r="E19" s="34">
        <v>14.4</v>
      </c>
      <c r="F19" s="53">
        <v>3.84</v>
      </c>
      <c r="P19" s="7">
        <v>14</v>
      </c>
      <c r="Q19" s="8">
        <v>16</v>
      </c>
      <c r="R19" s="8" t="s">
        <v>117</v>
      </c>
      <c r="S19" s="36">
        <v>198</v>
      </c>
      <c r="T19" s="36">
        <v>153</v>
      </c>
      <c r="U19" s="49">
        <v>3.61</v>
      </c>
      <c r="V19" s="8">
        <v>-0.02</v>
      </c>
      <c r="W19" s="51">
        <v>267</v>
      </c>
      <c r="X19" s="36">
        <v>48</v>
      </c>
      <c r="Y19" s="34">
        <v>66</v>
      </c>
      <c r="Z19" s="34">
        <v>47.5</v>
      </c>
      <c r="AA19" s="34">
        <v>22.7</v>
      </c>
      <c r="AB19" s="8">
        <v>6.08</v>
      </c>
      <c r="AC19" s="8" t="s">
        <v>111</v>
      </c>
      <c r="AD19" s="26">
        <f t="shared" si="0"/>
        <v>-2</v>
      </c>
      <c r="AE19" s="26" t="str">
        <f t="shared" si="1"/>
        <v>Balanced</v>
      </c>
      <c r="AF19" s="30" t="str">
        <f t="shared" si="2"/>
        <v>—</v>
      </c>
      <c r="AI19" s="7">
        <v>14</v>
      </c>
      <c r="AJ19" s="8">
        <v>15</v>
      </c>
      <c r="AK19" s="8" t="s">
        <v>118</v>
      </c>
      <c r="AL19" s="36">
        <v>197</v>
      </c>
      <c r="AM19" s="49">
        <v>3.64</v>
      </c>
      <c r="AN19" s="8">
        <v>0.01</v>
      </c>
      <c r="AO19" s="51">
        <v>587</v>
      </c>
      <c r="AP19" s="36">
        <v>427</v>
      </c>
      <c r="AQ19" s="34">
        <v>65.8</v>
      </c>
      <c r="AR19" s="34">
        <v>86.8</v>
      </c>
      <c r="AS19" s="8">
        <v>9.59</v>
      </c>
      <c r="AT19" s="8" t="s">
        <v>111</v>
      </c>
      <c r="AU19" s="26">
        <f t="shared" si="3"/>
        <v>1</v>
      </c>
      <c r="AV19" s="30" t="str">
        <f t="shared" si="4"/>
        <v>Balanced</v>
      </c>
    </row>
    <row r="20" spans="1:48" x14ac:dyDescent="0.2">
      <c r="A20" s="7" t="s">
        <v>76</v>
      </c>
      <c r="B20" s="8" t="s">
        <v>17</v>
      </c>
      <c r="C20" s="36">
        <v>41</v>
      </c>
      <c r="D20" s="36">
        <v>238</v>
      </c>
      <c r="E20" s="34">
        <v>17.2</v>
      </c>
      <c r="F20" s="53">
        <v>3.6</v>
      </c>
      <c r="P20" s="10">
        <v>15</v>
      </c>
      <c r="Q20" s="11">
        <v>14</v>
      </c>
      <c r="R20" s="11" t="s">
        <v>118</v>
      </c>
      <c r="S20" s="37">
        <v>197</v>
      </c>
      <c r="T20" s="37">
        <v>184</v>
      </c>
      <c r="U20" s="50">
        <v>3.64</v>
      </c>
      <c r="V20" s="11">
        <v>0.01</v>
      </c>
      <c r="W20" s="52">
        <v>587</v>
      </c>
      <c r="X20" s="37">
        <v>427</v>
      </c>
      <c r="Y20" s="35">
        <v>65.8</v>
      </c>
      <c r="Z20" s="35">
        <v>86.8</v>
      </c>
      <c r="AA20" s="35">
        <v>6.6</v>
      </c>
      <c r="AB20" s="11">
        <v>9.59</v>
      </c>
      <c r="AC20" s="11" t="s">
        <v>111</v>
      </c>
      <c r="AD20" s="28">
        <f t="shared" si="0"/>
        <v>1</v>
      </c>
      <c r="AE20" s="28" t="str">
        <f t="shared" si="1"/>
        <v>Balanced</v>
      </c>
      <c r="AF20" s="31" t="str">
        <f t="shared" si="2"/>
        <v>—</v>
      </c>
      <c r="AI20" s="10">
        <v>14</v>
      </c>
      <c r="AJ20" s="11">
        <v>18</v>
      </c>
      <c r="AK20" s="11" t="s">
        <v>126</v>
      </c>
      <c r="AL20" s="37">
        <v>131</v>
      </c>
      <c r="AM20" s="50">
        <v>3.64</v>
      </c>
      <c r="AN20" s="11">
        <v>0.01</v>
      </c>
      <c r="AO20" s="52">
        <v>489</v>
      </c>
      <c r="AP20" s="37">
        <v>215</v>
      </c>
      <c r="AQ20" s="35">
        <v>70.7</v>
      </c>
      <c r="AR20" s="35">
        <v>62.6</v>
      </c>
      <c r="AS20" s="11">
        <v>8.49</v>
      </c>
      <c r="AT20" s="11" t="s">
        <v>111</v>
      </c>
      <c r="AU20" s="28">
        <f t="shared" si="3"/>
        <v>4</v>
      </c>
      <c r="AV20" s="31" t="str">
        <f t="shared" si="4"/>
        <v>Balanced</v>
      </c>
    </row>
    <row r="21" spans="1:48" x14ac:dyDescent="0.2">
      <c r="A21" s="7" t="s">
        <v>21</v>
      </c>
      <c r="B21" s="8" t="s">
        <v>104</v>
      </c>
      <c r="C21" s="36">
        <v>44</v>
      </c>
      <c r="D21" s="36">
        <v>232</v>
      </c>
      <c r="E21" s="34">
        <v>19</v>
      </c>
      <c r="F21" s="53">
        <v>3.81</v>
      </c>
    </row>
    <row r="22" spans="1:48" x14ac:dyDescent="0.2">
      <c r="A22" s="7" t="s">
        <v>80</v>
      </c>
      <c r="B22" s="8" t="s">
        <v>104</v>
      </c>
      <c r="C22" s="36">
        <v>53</v>
      </c>
      <c r="D22" s="36">
        <v>226</v>
      </c>
      <c r="E22" s="34">
        <v>23.5</v>
      </c>
      <c r="F22" s="53">
        <v>3.53</v>
      </c>
    </row>
    <row r="23" spans="1:48" x14ac:dyDescent="0.2">
      <c r="A23" s="7" t="s">
        <v>77</v>
      </c>
      <c r="B23" s="8" t="s">
        <v>104</v>
      </c>
      <c r="C23" s="36">
        <v>59</v>
      </c>
      <c r="D23" s="36">
        <v>205</v>
      </c>
      <c r="E23" s="34">
        <v>28.8</v>
      </c>
      <c r="F23" s="53">
        <v>3.72</v>
      </c>
    </row>
    <row r="24" spans="1:48" x14ac:dyDescent="0.2">
      <c r="A24" s="7" t="s">
        <v>105</v>
      </c>
      <c r="B24" s="8" t="s">
        <v>104</v>
      </c>
      <c r="C24" s="36">
        <v>34</v>
      </c>
      <c r="D24" s="36">
        <v>197</v>
      </c>
      <c r="E24" s="34">
        <v>17.3</v>
      </c>
      <c r="F24" s="53">
        <v>3.47</v>
      </c>
    </row>
    <row r="25" spans="1:48" x14ac:dyDescent="0.2">
      <c r="A25" s="10" t="s">
        <v>81</v>
      </c>
      <c r="B25" s="11" t="s">
        <v>17</v>
      </c>
      <c r="C25" s="37">
        <v>28</v>
      </c>
      <c r="D25" s="37">
        <v>188</v>
      </c>
      <c r="E25" s="35">
        <v>14.9</v>
      </c>
      <c r="F25" s="54">
        <v>3.66</v>
      </c>
    </row>
  </sheetData>
  <mergeCells count="2">
    <mergeCell ref="P1:AC1"/>
    <mergeCell ref="A1:H1"/>
  </mergeCells>
  <conditionalFormatting sqref="E6:E25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6:F2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{6F4B27C9-BBEA-9848-A27E-929E076476E3}</x14:id>
        </ext>
      </extLst>
    </cfRule>
  </conditionalFormatting>
  <conditionalFormatting sqref="J6:J15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{83281F0F-A393-A04E-9FD5-86E2898C7476}</x14:id>
        </ext>
      </extLst>
    </cfRule>
  </conditionalFormatting>
  <conditionalFormatting sqref="K6:K15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C6:AC20">
    <cfRule type="containsText" dxfId="14" priority="5" operator="containsText" text="Below Average">
      <formula>NOT(ISERROR(SEARCH("Below Average",AC6)))</formula>
    </cfRule>
  </conditionalFormatting>
  <conditionalFormatting sqref="AC6:AC20">
    <cfRule type="containsText" dxfId="13" priority="6" operator="containsText" text="At Par">
      <formula>NOT(ISERROR(SEARCH("At Par",AC6)))</formula>
    </cfRule>
  </conditionalFormatting>
  <conditionalFormatting sqref="AC6:AC20">
    <cfRule type="containsText" dxfId="12" priority="7" operator="containsText" text="Above Average">
      <formula>NOT(ISERROR(SEARCH("Above Average",AC6)))</formula>
    </cfRule>
  </conditionalFormatting>
  <conditionalFormatting sqref="AC6:AC20">
    <cfRule type="containsText" dxfId="11" priority="8" operator="containsText" text="Star Performer">
      <formula>NOT(ISERROR(SEARCH("Star Performer",AC6)))</formula>
    </cfRule>
  </conditionalFormatting>
  <conditionalFormatting sqref="AM6:AM20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{2631FFC6-AC31-FD47-B03C-8CF469D98B3F}</x14:id>
        </ext>
      </extLst>
    </cfRule>
  </conditionalFormatting>
  <conditionalFormatting sqref="AN6:AN20">
    <cfRule type="colorScale" priority="1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Q6:AQ20"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F4B27C9-BBEA-9848-A27E-929E076476E3}">
            <x14:dataBar minLength="0" maxLength="100" border="1" direction="leftToRight" negativeBarColorSameAsPositive="1" axisPosition="none">
              <x14:cfvo type="min"/>
              <x14:cfvo type="max"/>
              <x14:borderColor rgb="FF638EC6"/>
            </x14:dataBar>
          </x14:cfRule>
          <xm:sqref>F6:F25</xm:sqref>
        </x14:conditionalFormatting>
        <x14:conditionalFormatting xmlns:xm="http://schemas.microsoft.com/office/excel/2006/main">
          <x14:cfRule type="dataBar" id="{83281F0F-A393-A04E-9FD5-86E2898C7476}">
            <x14:dataBar minLength="0" maxLength="100" border="1" direction="leftToRight" negativeBarColorSameAsPositive="1" axisPosition="none">
              <x14:cfvo type="min"/>
              <x14:cfvo type="max"/>
              <x14:borderColor rgb="FFD6007B"/>
            </x14:dataBar>
          </x14:cfRule>
          <xm:sqref>J6:J15</xm:sqref>
        </x14:conditionalFormatting>
        <x14:conditionalFormatting xmlns:xm="http://schemas.microsoft.com/office/excel/2006/main">
          <x14:cfRule type="dataBar" id="{2631FFC6-AC31-FD47-B03C-8CF469D98B3F}">
            <x14:dataBar minLength="0" maxLength="100" border="1" direction="leftToRight" negativeBarColorSameAsPositive="1" axisPosition="none">
              <x14:cfvo type="min"/>
              <x14:cfvo type="max"/>
              <x14:borderColor rgb="FF63C384"/>
            </x14:dataBar>
          </x14:cfRule>
          <xm:sqref>AM6:AM20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C2166-FBCD-E845-B2E8-58C8860F7794}">
  <dimension ref="A1:AT18"/>
  <sheetViews>
    <sheetView topLeftCell="AP1" workbookViewId="0">
      <pane ySplit="3" topLeftCell="A4" activePane="bottomLeft" state="frozen"/>
      <selection pane="bottomLeft" activeCell="AQ16" sqref="AQ16"/>
    </sheetView>
  </sheetViews>
  <sheetFormatPr baseColWidth="10" defaultRowHeight="16" x14ac:dyDescent="0.2"/>
  <cols>
    <col min="1" max="1" width="15.33203125" bestFit="1" customWidth="1"/>
    <col min="2" max="3" width="17.83203125" bestFit="1" customWidth="1"/>
    <col min="4" max="4" width="11" bestFit="1" customWidth="1"/>
    <col min="5" max="5" width="20.5" bestFit="1" customWidth="1"/>
    <col min="6" max="6" width="9.33203125" bestFit="1" customWidth="1"/>
    <col min="7" max="7" width="18.83203125" bestFit="1" customWidth="1"/>
    <col min="8" max="8" width="10.33203125" bestFit="1" customWidth="1"/>
    <col min="9" max="9" width="19.83203125" bestFit="1" customWidth="1"/>
    <col min="10" max="10" width="18" bestFit="1" customWidth="1"/>
    <col min="11" max="11" width="13.6640625" bestFit="1" customWidth="1"/>
    <col min="12" max="12" width="9.33203125" bestFit="1" customWidth="1"/>
    <col min="13" max="13" width="17.33203125" bestFit="1" customWidth="1"/>
    <col min="14" max="14" width="15.33203125" bestFit="1" customWidth="1"/>
    <col min="15" max="15" width="12.5" bestFit="1" customWidth="1"/>
    <col min="16" max="16" width="12.83203125" bestFit="1" customWidth="1"/>
    <col min="17" max="17" width="28.1640625" bestFit="1" customWidth="1"/>
    <col min="18" max="18" width="10.83203125" style="48"/>
    <col min="21" max="21" width="11" bestFit="1" customWidth="1"/>
    <col min="22" max="22" width="13.5" bestFit="1" customWidth="1"/>
    <col min="23" max="23" width="21.6640625" bestFit="1" customWidth="1"/>
    <col min="24" max="24" width="19.6640625" bestFit="1" customWidth="1"/>
    <col min="25" max="25" width="16.83203125" bestFit="1" customWidth="1"/>
    <col min="26" max="26" width="12.6640625" bestFit="1" customWidth="1"/>
    <col min="27" max="27" width="5.5" bestFit="1" customWidth="1"/>
    <col min="28" max="28" width="6.5" bestFit="1" customWidth="1"/>
    <col min="29" max="29" width="13.33203125" bestFit="1" customWidth="1"/>
    <col min="30" max="30" width="12.33203125" bestFit="1" customWidth="1"/>
    <col min="31" max="31" width="22" bestFit="1" customWidth="1"/>
    <col min="32" max="32" width="13.5" bestFit="1" customWidth="1"/>
    <col min="33" max="33" width="11.6640625" bestFit="1" customWidth="1"/>
    <col min="34" max="34" width="10.6640625" bestFit="1" customWidth="1"/>
    <col min="38" max="38" width="36.1640625" bestFit="1" customWidth="1"/>
    <col min="39" max="39" width="13.6640625" bestFit="1" customWidth="1"/>
    <col min="40" max="40" width="15.83203125" bestFit="1" customWidth="1"/>
    <col min="41" max="41" width="20.1640625" bestFit="1" customWidth="1"/>
    <col min="42" max="42" width="23.33203125" bestFit="1" customWidth="1"/>
    <col min="43" max="43" width="17.33203125" bestFit="1" customWidth="1"/>
    <col min="44" max="44" width="15.33203125" bestFit="1" customWidth="1"/>
    <col min="45" max="45" width="17.1640625" bestFit="1" customWidth="1"/>
    <col min="46" max="46" width="10.83203125" style="48"/>
  </cols>
  <sheetData>
    <row r="1" spans="1:45" ht="19" x14ac:dyDescent="0.25">
      <c r="A1" s="2" t="s">
        <v>174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T1" s="2" t="s">
        <v>175</v>
      </c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spans="1:45" x14ac:dyDescent="0.2">
      <c r="Z2" s="17"/>
    </row>
    <row r="3" spans="1:45" ht="19" x14ac:dyDescent="0.25">
      <c r="A3" s="18" t="s">
        <v>39</v>
      </c>
      <c r="B3" s="19" t="s">
        <v>43</v>
      </c>
      <c r="C3" s="19" t="s">
        <v>94</v>
      </c>
      <c r="D3" s="19" t="s">
        <v>58</v>
      </c>
      <c r="E3" s="19" t="s">
        <v>176</v>
      </c>
      <c r="F3" s="19" t="s">
        <v>95</v>
      </c>
      <c r="G3" s="19" t="s">
        <v>177</v>
      </c>
      <c r="H3" s="19" t="s">
        <v>57</v>
      </c>
      <c r="I3" s="19" t="s">
        <v>178</v>
      </c>
      <c r="J3" s="19" t="s">
        <v>55</v>
      </c>
      <c r="K3" s="19" t="s">
        <v>46</v>
      </c>
      <c r="L3" s="19" t="s">
        <v>52</v>
      </c>
      <c r="M3" s="19" t="s">
        <v>96</v>
      </c>
      <c r="N3" s="19" t="s">
        <v>100</v>
      </c>
      <c r="O3" s="19" t="s">
        <v>54</v>
      </c>
      <c r="P3" s="19" t="s">
        <v>98</v>
      </c>
      <c r="Q3" s="20" t="s">
        <v>179</v>
      </c>
      <c r="T3" s="3" t="s">
        <v>129</v>
      </c>
      <c r="U3" s="18" t="s">
        <v>180</v>
      </c>
      <c r="V3" s="19" t="s">
        <v>181</v>
      </c>
      <c r="W3" s="19" t="s">
        <v>32</v>
      </c>
      <c r="X3" s="19" t="s">
        <v>33</v>
      </c>
      <c r="Y3" s="19" t="s">
        <v>34</v>
      </c>
      <c r="Z3" s="19" t="s">
        <v>35</v>
      </c>
      <c r="AA3" s="19" t="s">
        <v>36</v>
      </c>
      <c r="AB3" s="19" t="s">
        <v>37</v>
      </c>
      <c r="AC3" s="19" t="s">
        <v>38</v>
      </c>
      <c r="AD3" s="19" t="s">
        <v>182</v>
      </c>
      <c r="AE3" s="19" t="s">
        <v>183</v>
      </c>
      <c r="AF3" s="19" t="s">
        <v>40</v>
      </c>
      <c r="AG3" s="19" t="s">
        <v>41</v>
      </c>
      <c r="AH3" s="20" t="s">
        <v>184</v>
      </c>
      <c r="AK3" s="3" t="s">
        <v>130</v>
      </c>
      <c r="AL3" s="18" t="s">
        <v>185</v>
      </c>
      <c r="AM3" s="19" t="s">
        <v>186</v>
      </c>
      <c r="AN3" s="19" t="s">
        <v>187</v>
      </c>
      <c r="AO3" s="19" t="s">
        <v>188</v>
      </c>
      <c r="AP3" s="19" t="s">
        <v>189</v>
      </c>
      <c r="AQ3" s="19" t="s">
        <v>190</v>
      </c>
      <c r="AR3" s="19" t="s">
        <v>191</v>
      </c>
      <c r="AS3" s="20" t="s">
        <v>192</v>
      </c>
    </row>
    <row r="4" spans="1:45" x14ac:dyDescent="0.2">
      <c r="A4" s="7" t="s">
        <v>27</v>
      </c>
      <c r="B4" s="36">
        <v>7114</v>
      </c>
      <c r="C4" s="34">
        <v>59.1</v>
      </c>
      <c r="D4" s="8">
        <v>3.55</v>
      </c>
      <c r="E4" s="8" t="s">
        <v>145</v>
      </c>
      <c r="F4" s="51">
        <v>281</v>
      </c>
      <c r="G4" s="8" t="s">
        <v>145</v>
      </c>
      <c r="H4" s="36">
        <v>58</v>
      </c>
      <c r="I4" s="8" t="s">
        <v>145</v>
      </c>
      <c r="J4" s="34">
        <v>60.4</v>
      </c>
      <c r="K4" s="34">
        <v>5.2</v>
      </c>
      <c r="L4" s="34">
        <v>3.4</v>
      </c>
      <c r="M4" s="34">
        <v>48.9</v>
      </c>
      <c r="N4" s="34">
        <v>0.2</v>
      </c>
      <c r="O4" s="34">
        <v>32</v>
      </c>
      <c r="P4" s="8">
        <v>1.2669999999999999</v>
      </c>
      <c r="Q4" s="9" t="s">
        <v>146</v>
      </c>
      <c r="U4" s="7">
        <v>1</v>
      </c>
      <c r="V4" s="8">
        <v>1</v>
      </c>
      <c r="W4" s="8" t="s">
        <v>147</v>
      </c>
      <c r="X4" s="8" t="s">
        <v>77</v>
      </c>
      <c r="Y4" s="8" t="s">
        <v>104</v>
      </c>
      <c r="Z4" s="8" t="s">
        <v>148</v>
      </c>
      <c r="AA4" s="49">
        <v>4.4000000000000004</v>
      </c>
      <c r="AB4" s="36">
        <v>4460</v>
      </c>
      <c r="AC4" s="8">
        <v>150</v>
      </c>
      <c r="AD4" s="8">
        <v>2.93</v>
      </c>
      <c r="AE4" s="34">
        <v>96.1</v>
      </c>
      <c r="AF4" s="8">
        <v>0</v>
      </c>
      <c r="AG4" s="8">
        <v>0</v>
      </c>
      <c r="AH4" s="9" t="s">
        <v>149</v>
      </c>
      <c r="AL4" s="87">
        <v>7114</v>
      </c>
      <c r="AM4" s="37">
        <v>4841</v>
      </c>
      <c r="AN4" s="37">
        <v>628</v>
      </c>
      <c r="AO4" s="35">
        <v>13</v>
      </c>
      <c r="AP4" s="37">
        <v>450</v>
      </c>
      <c r="AQ4" s="35">
        <v>6.3</v>
      </c>
      <c r="AR4" s="11">
        <v>301</v>
      </c>
      <c r="AS4" s="12">
        <v>4.17</v>
      </c>
    </row>
    <row r="5" spans="1:45" x14ac:dyDescent="0.2">
      <c r="A5" s="7" t="s">
        <v>28</v>
      </c>
      <c r="B5" s="36">
        <v>3708</v>
      </c>
      <c r="C5" s="34">
        <v>30.8</v>
      </c>
      <c r="D5" s="8">
        <v>3.62</v>
      </c>
      <c r="E5" s="8">
        <v>7.0000000000000007E-2</v>
      </c>
      <c r="F5" s="51">
        <v>594</v>
      </c>
      <c r="G5" s="8">
        <v>313</v>
      </c>
      <c r="H5" s="36">
        <v>223</v>
      </c>
      <c r="I5" s="8">
        <v>165</v>
      </c>
      <c r="J5" s="34">
        <v>69</v>
      </c>
      <c r="K5" s="34">
        <v>13.5</v>
      </c>
      <c r="L5" s="34">
        <v>8</v>
      </c>
      <c r="M5" s="34">
        <v>65</v>
      </c>
      <c r="N5" s="34">
        <v>6.5</v>
      </c>
      <c r="O5" s="34">
        <v>14.8</v>
      </c>
      <c r="P5" s="8">
        <v>0.61</v>
      </c>
      <c r="Q5" s="9" t="s">
        <v>209</v>
      </c>
      <c r="U5" s="7">
        <v>2</v>
      </c>
      <c r="V5" s="8">
        <v>1</v>
      </c>
      <c r="W5" s="8" t="s">
        <v>150</v>
      </c>
      <c r="X5" s="8" t="s">
        <v>21</v>
      </c>
      <c r="Y5" s="8" t="s">
        <v>104</v>
      </c>
      <c r="Z5" s="8" t="s">
        <v>148</v>
      </c>
      <c r="AA5" s="49">
        <v>4.8</v>
      </c>
      <c r="AB5" s="36">
        <v>4421</v>
      </c>
      <c r="AC5" s="8">
        <v>150</v>
      </c>
      <c r="AD5" s="8">
        <v>3.2</v>
      </c>
      <c r="AE5" s="34">
        <v>99.7</v>
      </c>
      <c r="AF5" s="8">
        <v>1</v>
      </c>
      <c r="AG5" s="8">
        <v>0</v>
      </c>
      <c r="AH5" s="9" t="s">
        <v>151</v>
      </c>
    </row>
    <row r="6" spans="1:45" ht="19" x14ac:dyDescent="0.25">
      <c r="A6" s="10" t="s">
        <v>4</v>
      </c>
      <c r="B6" s="37">
        <v>1215</v>
      </c>
      <c r="C6" s="35">
        <v>10.1</v>
      </c>
      <c r="D6" s="11">
        <v>3.99</v>
      </c>
      <c r="E6" s="11">
        <v>0.37</v>
      </c>
      <c r="F6" s="52">
        <v>1401</v>
      </c>
      <c r="G6" s="11">
        <v>807</v>
      </c>
      <c r="H6" s="37">
        <v>846</v>
      </c>
      <c r="I6" s="11">
        <v>623</v>
      </c>
      <c r="J6" s="35">
        <v>88.8</v>
      </c>
      <c r="K6" s="35">
        <v>49.1</v>
      </c>
      <c r="L6" s="35">
        <v>3.1</v>
      </c>
      <c r="M6" s="35">
        <v>38.5</v>
      </c>
      <c r="N6" s="35">
        <v>56.5</v>
      </c>
      <c r="O6" s="35">
        <v>4.9000000000000004</v>
      </c>
      <c r="P6" s="11">
        <v>0.28499999999999998</v>
      </c>
      <c r="Q6" s="12" t="s">
        <v>210</v>
      </c>
      <c r="U6" s="7">
        <v>3</v>
      </c>
      <c r="V6" s="8">
        <v>1</v>
      </c>
      <c r="W6" s="8" t="s">
        <v>152</v>
      </c>
      <c r="X6" s="8" t="s">
        <v>89</v>
      </c>
      <c r="Y6" s="8" t="s">
        <v>116</v>
      </c>
      <c r="Z6" s="8" t="s">
        <v>148</v>
      </c>
      <c r="AA6" s="49">
        <v>4.3</v>
      </c>
      <c r="AB6" s="36">
        <v>3624</v>
      </c>
      <c r="AC6" s="8">
        <v>400</v>
      </c>
      <c r="AD6" s="8">
        <v>1.08</v>
      </c>
      <c r="AE6" s="34">
        <v>93.3</v>
      </c>
      <c r="AF6" s="8">
        <v>1</v>
      </c>
      <c r="AG6" s="8">
        <v>0</v>
      </c>
      <c r="AH6" s="9" t="s">
        <v>149</v>
      </c>
      <c r="AL6" s="61" t="s">
        <v>225</v>
      </c>
      <c r="AP6" s="62" t="s">
        <v>234</v>
      </c>
      <c r="AQ6" s="62"/>
      <c r="AR6" s="62"/>
      <c r="AS6" s="62"/>
    </row>
    <row r="7" spans="1:45" x14ac:dyDescent="0.2">
      <c r="U7" s="7">
        <v>4</v>
      </c>
      <c r="V7" s="8">
        <v>1</v>
      </c>
      <c r="W7" s="8" t="s">
        <v>153</v>
      </c>
      <c r="X7" s="8" t="s">
        <v>77</v>
      </c>
      <c r="Y7" s="8" t="s">
        <v>104</v>
      </c>
      <c r="Z7" s="8" t="s">
        <v>148</v>
      </c>
      <c r="AA7" s="49">
        <v>4.5</v>
      </c>
      <c r="AB7" s="36">
        <v>2896</v>
      </c>
      <c r="AC7" s="8">
        <v>250</v>
      </c>
      <c r="AD7" s="8">
        <v>1.8</v>
      </c>
      <c r="AE7" s="34">
        <v>97.8</v>
      </c>
      <c r="AF7" s="8">
        <v>0</v>
      </c>
      <c r="AG7" s="8">
        <v>0</v>
      </c>
      <c r="AH7" s="9" t="s">
        <v>151</v>
      </c>
    </row>
    <row r="8" spans="1:45" ht="19" x14ac:dyDescent="0.25">
      <c r="U8" s="7">
        <v>5</v>
      </c>
      <c r="V8" s="8">
        <v>1</v>
      </c>
      <c r="W8" s="8" t="s">
        <v>154</v>
      </c>
      <c r="X8" s="8" t="s">
        <v>77</v>
      </c>
      <c r="Y8" s="8" t="s">
        <v>104</v>
      </c>
      <c r="Z8" s="8" t="s">
        <v>148</v>
      </c>
      <c r="AA8" s="49">
        <v>4.8</v>
      </c>
      <c r="AB8" s="36">
        <v>2679</v>
      </c>
      <c r="AC8" s="8">
        <v>100</v>
      </c>
      <c r="AD8" s="8">
        <v>4.8</v>
      </c>
      <c r="AE8" s="34">
        <v>99.7</v>
      </c>
      <c r="AF8" s="8">
        <v>0</v>
      </c>
      <c r="AG8" s="8">
        <v>0</v>
      </c>
      <c r="AH8" s="9" t="s">
        <v>151</v>
      </c>
      <c r="AL8" s="18" t="s">
        <v>226</v>
      </c>
      <c r="AM8" s="72" t="s">
        <v>227</v>
      </c>
      <c r="AN8" s="20" t="s">
        <v>228</v>
      </c>
      <c r="AP8" s="81" t="s">
        <v>235</v>
      </c>
      <c r="AQ8" s="82">
        <v>1300</v>
      </c>
    </row>
    <row r="9" spans="1:45" x14ac:dyDescent="0.2">
      <c r="U9" s="7">
        <v>6</v>
      </c>
      <c r="V9" s="8">
        <v>1</v>
      </c>
      <c r="W9" s="8" t="s">
        <v>155</v>
      </c>
      <c r="X9" s="8" t="s">
        <v>21</v>
      </c>
      <c r="Y9" s="8" t="s">
        <v>104</v>
      </c>
      <c r="Z9" s="8" t="s">
        <v>148</v>
      </c>
      <c r="AA9" s="49">
        <v>4.5</v>
      </c>
      <c r="AB9" s="36">
        <v>2416</v>
      </c>
      <c r="AC9" s="8">
        <v>150</v>
      </c>
      <c r="AD9" s="8">
        <v>3</v>
      </c>
      <c r="AE9" s="34">
        <v>97.8</v>
      </c>
      <c r="AF9" s="8">
        <v>1</v>
      </c>
      <c r="AG9" s="8">
        <v>0</v>
      </c>
      <c r="AH9" s="9" t="s">
        <v>151</v>
      </c>
      <c r="AL9" s="73" t="s">
        <v>185</v>
      </c>
      <c r="AM9" s="71">
        <f>AL4</f>
        <v>7114</v>
      </c>
      <c r="AN9" s="75">
        <v>1</v>
      </c>
      <c r="AP9" s="83" t="s">
        <v>236</v>
      </c>
      <c r="AQ9" s="84" t="str">
        <f>IF(AQ8&lt;=400,"Budget",IF(AQ8&lt;=800,"Mid-range","Premium"))</f>
        <v>Premium</v>
      </c>
    </row>
    <row r="10" spans="1:45" x14ac:dyDescent="0.2">
      <c r="U10" s="7">
        <v>7</v>
      </c>
      <c r="V10" s="8">
        <v>1</v>
      </c>
      <c r="W10" s="8" t="s">
        <v>156</v>
      </c>
      <c r="X10" s="8" t="s">
        <v>6</v>
      </c>
      <c r="Y10" s="8" t="s">
        <v>115</v>
      </c>
      <c r="Z10" s="8" t="s">
        <v>157</v>
      </c>
      <c r="AA10" s="49">
        <v>4.7</v>
      </c>
      <c r="AB10" s="36">
        <v>2174</v>
      </c>
      <c r="AC10" s="8">
        <v>400</v>
      </c>
      <c r="AD10" s="8">
        <v>1.18</v>
      </c>
      <c r="AE10" s="34">
        <v>99.5</v>
      </c>
      <c r="AF10" s="8">
        <v>1</v>
      </c>
      <c r="AG10" s="8">
        <v>0</v>
      </c>
      <c r="AH10" s="9" t="s">
        <v>151</v>
      </c>
      <c r="AL10" s="74" t="s">
        <v>229</v>
      </c>
      <c r="AM10" s="71">
        <f>AM4</f>
        <v>4841</v>
      </c>
      <c r="AN10" s="76">
        <f>AM10/AM9</f>
        <v>0.68048917627213945</v>
      </c>
      <c r="AP10" s="83" t="s">
        <v>237</v>
      </c>
      <c r="AQ10" s="85">
        <f>INDEX($D$4:$D$6,MATCH(AQ9,$A$4:$A$6,0))</f>
        <v>3.99</v>
      </c>
    </row>
    <row r="11" spans="1:45" x14ac:dyDescent="0.2">
      <c r="U11" s="7">
        <v>8</v>
      </c>
      <c r="V11" s="8">
        <v>1</v>
      </c>
      <c r="W11" s="8" t="s">
        <v>158</v>
      </c>
      <c r="X11" s="8" t="s">
        <v>6</v>
      </c>
      <c r="Y11" s="8" t="s">
        <v>115</v>
      </c>
      <c r="Z11" s="8" t="s">
        <v>157</v>
      </c>
      <c r="AA11" s="49">
        <v>4.9000000000000004</v>
      </c>
      <c r="AB11" s="36">
        <v>2090</v>
      </c>
      <c r="AC11" s="8">
        <v>400</v>
      </c>
      <c r="AD11" s="8">
        <v>1.23</v>
      </c>
      <c r="AE11" s="34">
        <v>99.9</v>
      </c>
      <c r="AF11" s="8">
        <v>0</v>
      </c>
      <c r="AG11" s="8">
        <v>0</v>
      </c>
      <c r="AH11" s="9" t="s">
        <v>151</v>
      </c>
      <c r="AL11" s="74" t="s">
        <v>230</v>
      </c>
      <c r="AM11" s="71">
        <f>AL4-AM4</f>
        <v>2273</v>
      </c>
      <c r="AN11" s="76">
        <f>AM11/AM9</f>
        <v>0.31951082372786055</v>
      </c>
      <c r="AP11" s="83" t="s">
        <v>238</v>
      </c>
      <c r="AQ11" s="86">
        <f>INDEX($J$4:$J$6,MATCH(AQ9,$A$4:$A$6,0))</f>
        <v>88.8</v>
      </c>
    </row>
    <row r="12" spans="1:45" x14ac:dyDescent="0.2">
      <c r="U12" s="7">
        <v>9</v>
      </c>
      <c r="V12" s="8">
        <v>1</v>
      </c>
      <c r="W12" s="8" t="s">
        <v>159</v>
      </c>
      <c r="X12" s="8" t="s">
        <v>160</v>
      </c>
      <c r="Y12" s="8" t="s">
        <v>115</v>
      </c>
      <c r="Z12" s="8" t="s">
        <v>157</v>
      </c>
      <c r="AA12" s="49">
        <v>4.4000000000000004</v>
      </c>
      <c r="AB12" s="36">
        <v>1916</v>
      </c>
      <c r="AC12" s="8">
        <v>400</v>
      </c>
      <c r="AD12" s="8">
        <v>1.1000000000000001</v>
      </c>
      <c r="AE12" s="34">
        <v>96.1</v>
      </c>
      <c r="AF12" s="8">
        <v>0</v>
      </c>
      <c r="AG12" s="8">
        <v>0</v>
      </c>
      <c r="AH12" s="9" t="s">
        <v>149</v>
      </c>
      <c r="AL12" s="74" t="s">
        <v>231</v>
      </c>
      <c r="AM12" s="71">
        <f>AN4</f>
        <v>628</v>
      </c>
      <c r="AN12" s="76">
        <f>AM12/AM10</f>
        <v>0.12972526337533569</v>
      </c>
    </row>
    <row r="13" spans="1:45" x14ac:dyDescent="0.2">
      <c r="U13" s="7">
        <v>10</v>
      </c>
      <c r="V13" s="8">
        <v>1</v>
      </c>
      <c r="W13" s="8" t="s">
        <v>161</v>
      </c>
      <c r="X13" s="8" t="s">
        <v>13</v>
      </c>
      <c r="Y13" s="8" t="s">
        <v>110</v>
      </c>
      <c r="Z13" s="8" t="s">
        <v>157</v>
      </c>
      <c r="AA13" s="49">
        <v>4.3</v>
      </c>
      <c r="AB13" s="36">
        <v>1904</v>
      </c>
      <c r="AC13" s="8">
        <v>400</v>
      </c>
      <c r="AD13" s="8">
        <v>1.08</v>
      </c>
      <c r="AE13" s="34">
        <v>93.3</v>
      </c>
      <c r="AF13" s="8">
        <v>1</v>
      </c>
      <c r="AG13" s="8">
        <v>0</v>
      </c>
      <c r="AH13" s="9" t="s">
        <v>149</v>
      </c>
      <c r="AL13" s="74" t="s">
        <v>232</v>
      </c>
      <c r="AM13" s="71">
        <f>AP4</f>
        <v>450</v>
      </c>
      <c r="AN13" s="76">
        <f>AP4/AN4</f>
        <v>0.71656050955414008</v>
      </c>
    </row>
    <row r="14" spans="1:45" x14ac:dyDescent="0.2">
      <c r="U14" s="7">
        <v>11</v>
      </c>
      <c r="V14" s="8">
        <v>1</v>
      </c>
      <c r="W14" s="8" t="s">
        <v>153</v>
      </c>
      <c r="X14" s="8" t="s">
        <v>6</v>
      </c>
      <c r="Y14" s="8" t="s">
        <v>104</v>
      </c>
      <c r="Z14" s="8" t="s">
        <v>148</v>
      </c>
      <c r="AA14" s="49">
        <v>4.3</v>
      </c>
      <c r="AB14" s="36">
        <v>1878</v>
      </c>
      <c r="AC14" s="8">
        <v>300</v>
      </c>
      <c r="AD14" s="8">
        <v>1.43</v>
      </c>
      <c r="AE14" s="34">
        <v>93.3</v>
      </c>
      <c r="AF14" s="8">
        <v>0</v>
      </c>
      <c r="AG14" s="8">
        <v>0</v>
      </c>
      <c r="AH14" s="9" t="s">
        <v>149</v>
      </c>
      <c r="AL14" s="77" t="s">
        <v>233</v>
      </c>
      <c r="AM14" s="78">
        <f>AN4-AP4</f>
        <v>178</v>
      </c>
      <c r="AN14" s="79">
        <f>AM14/AM12</f>
        <v>0.28343949044585987</v>
      </c>
    </row>
    <row r="15" spans="1:45" x14ac:dyDescent="0.2">
      <c r="U15" s="7">
        <v>12</v>
      </c>
      <c r="V15" s="8">
        <v>1</v>
      </c>
      <c r="W15" s="8" t="s">
        <v>162</v>
      </c>
      <c r="X15" s="8" t="s">
        <v>72</v>
      </c>
      <c r="Y15" s="8" t="s">
        <v>106</v>
      </c>
      <c r="Z15" s="8" t="s">
        <v>148</v>
      </c>
      <c r="AA15" s="49">
        <v>4.4000000000000004</v>
      </c>
      <c r="AB15" s="36">
        <v>1833</v>
      </c>
      <c r="AC15" s="8">
        <v>200</v>
      </c>
      <c r="AD15" s="8">
        <v>2.2000000000000002</v>
      </c>
      <c r="AE15" s="34">
        <v>96.1</v>
      </c>
      <c r="AF15" s="8">
        <v>0</v>
      </c>
      <c r="AG15" s="8">
        <v>0</v>
      </c>
      <c r="AH15" s="9" t="s">
        <v>149</v>
      </c>
    </row>
    <row r="16" spans="1:45" x14ac:dyDescent="0.2">
      <c r="U16" s="7">
        <v>13</v>
      </c>
      <c r="V16" s="8">
        <v>1</v>
      </c>
      <c r="W16" s="8" t="s">
        <v>163</v>
      </c>
      <c r="X16" s="8" t="s">
        <v>67</v>
      </c>
      <c r="Y16" s="8" t="s">
        <v>110</v>
      </c>
      <c r="Z16" s="8" t="s">
        <v>157</v>
      </c>
      <c r="AA16" s="49">
        <v>4.5999999999999996</v>
      </c>
      <c r="AB16" s="36">
        <v>1822</v>
      </c>
      <c r="AC16" s="8">
        <v>400</v>
      </c>
      <c r="AD16" s="8">
        <v>1.1499999999999999</v>
      </c>
      <c r="AE16" s="34">
        <v>98.9</v>
      </c>
      <c r="AF16" s="8">
        <v>1</v>
      </c>
      <c r="AG16" s="8">
        <v>0</v>
      </c>
      <c r="AH16" s="9" t="s">
        <v>151</v>
      </c>
    </row>
    <row r="17" spans="21:34" x14ac:dyDescent="0.2">
      <c r="U17" s="7">
        <v>14</v>
      </c>
      <c r="V17" s="8">
        <v>1</v>
      </c>
      <c r="W17" s="8" t="s">
        <v>164</v>
      </c>
      <c r="X17" s="8" t="s">
        <v>72</v>
      </c>
      <c r="Y17" s="8" t="s">
        <v>17</v>
      </c>
      <c r="Z17" s="8" t="s">
        <v>148</v>
      </c>
      <c r="AA17" s="49">
        <v>4</v>
      </c>
      <c r="AB17" s="36">
        <v>1785</v>
      </c>
      <c r="AC17" s="8">
        <v>200</v>
      </c>
      <c r="AD17" s="8">
        <v>2</v>
      </c>
      <c r="AE17" s="34">
        <v>76.8</v>
      </c>
      <c r="AF17" s="8">
        <v>1</v>
      </c>
      <c r="AG17" s="8">
        <v>0</v>
      </c>
      <c r="AH17" s="9" t="s">
        <v>165</v>
      </c>
    </row>
    <row r="18" spans="21:34" x14ac:dyDescent="0.2">
      <c r="U18" s="10">
        <v>15</v>
      </c>
      <c r="V18" s="11">
        <v>1</v>
      </c>
      <c r="W18" s="11" t="s">
        <v>166</v>
      </c>
      <c r="X18" s="11" t="s">
        <v>167</v>
      </c>
      <c r="Y18" s="11" t="s">
        <v>110</v>
      </c>
      <c r="Z18" s="11" t="s">
        <v>157</v>
      </c>
      <c r="AA18" s="50">
        <v>4.9000000000000004</v>
      </c>
      <c r="AB18" s="37">
        <v>1750</v>
      </c>
      <c r="AC18" s="11">
        <v>400</v>
      </c>
      <c r="AD18" s="11">
        <v>1.23</v>
      </c>
      <c r="AE18" s="35">
        <v>99.9</v>
      </c>
      <c r="AF18" s="11">
        <v>1</v>
      </c>
      <c r="AG18" s="11">
        <v>0</v>
      </c>
      <c r="AH18" s="12" t="s">
        <v>151</v>
      </c>
    </row>
  </sheetData>
  <mergeCells count="3">
    <mergeCell ref="A1:Q1"/>
    <mergeCell ref="T1:AH1"/>
    <mergeCell ref="AP6:AS6"/>
  </mergeCells>
  <conditionalFormatting sqref="D4:D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{9FD04E9A-F1BB-0A45-8370-077671024003}</x14:id>
        </ext>
      </extLst>
    </cfRule>
  </conditionalFormatting>
  <conditionalFormatting sqref="J4:J6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4:L6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4:P6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{4D43EBB8-3163-214D-8E2F-B294795BA78B}</x14:id>
        </ext>
      </extLst>
    </cfRule>
  </conditionalFormatting>
  <conditionalFormatting sqref="Q4:Q6">
    <cfRule type="containsText" dxfId="10" priority="5" operator="containsText" text="Baseline">
      <formula>NOT(ISERROR(SEARCH("Baseline",Q4)))</formula>
    </cfRule>
  </conditionalFormatting>
  <conditionalFormatting sqref="Q4:Q6">
    <cfRule type="containsText" dxfId="9" priority="6" operator="containsText" text="Marginal">
      <formula>NOT(ISERROR(SEARCH("Marginal",Q4)))</formula>
    </cfRule>
  </conditionalFormatting>
  <conditionalFormatting sqref="Q4:Q6">
    <cfRule type="containsText" dxfId="8" priority="7" operator="containsText" text="Justified">
      <formula>NOT(ISERROR(SEARCH("Justified",Q4)))</formula>
    </cfRule>
  </conditionalFormatting>
  <conditionalFormatting sqref="AA4:AA18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{A860D2F0-44FD-C744-9944-A68CD55FC047}</x14:id>
        </ext>
      </extLst>
    </cfRule>
  </conditionalFormatting>
  <conditionalFormatting sqref="AD4:AD18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{BF1BA127-17EB-0147-9F4C-707EAB04D524}</x14:id>
        </ext>
      </extLst>
    </cfRule>
  </conditionalFormatting>
  <conditionalFormatting sqref="AE4:AE18"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H4:AH18">
    <cfRule type="containsText" dxfId="7" priority="11" operator="containsText" text="Very Good">
      <formula>NOT(ISERROR(SEARCH("Very Good",AH4)))</formula>
    </cfRule>
  </conditionalFormatting>
  <conditionalFormatting sqref="AH4:AH18">
    <cfRule type="containsText" dxfId="6" priority="12" operator="containsText" text="Excellent">
      <formula>NOT(ISERROR(SEARCH("Excellent",AH4)))</formula>
    </cfRule>
  </conditionalFormatting>
  <conditionalFormatting sqref="AH4:AH18">
    <cfRule type="containsText" dxfId="5" priority="13" operator="containsText" text="Exceptional">
      <formula>NOT(ISERROR(SEARCH("Exceptional",AH4)))</formula>
    </cfRule>
  </conditionalFormatting>
  <conditionalFormatting sqref="AM9:AM14">
    <cfRule type="dataBar" priority="1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{4A7A77AB-816C-7843-B0EC-7A6B20E724B9}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FD04E9A-F1BB-0A45-8370-077671024003}">
            <x14:dataBar minLength="0" maxLength="100" border="1" direction="leftToRight" negativeBarColorSameAsPositive="1" axisPosition="none">
              <x14:cfvo type="min"/>
              <x14:cfvo type="max"/>
              <x14:borderColor rgb="FF638EC6"/>
            </x14:dataBar>
          </x14:cfRule>
          <xm:sqref>D4:D6</xm:sqref>
        </x14:conditionalFormatting>
        <x14:conditionalFormatting xmlns:xm="http://schemas.microsoft.com/office/excel/2006/main">
          <x14:cfRule type="dataBar" id="{4D43EBB8-3163-214D-8E2F-B294795BA78B}">
            <x14:dataBar minLength="0" maxLength="100" border="1" direction="leftToRight" negativeBarColorSameAsPositive="1" axisPosition="none">
              <x14:cfvo type="min"/>
              <x14:cfvo type="max"/>
              <x14:borderColor rgb="FF63C384"/>
            </x14:dataBar>
          </x14:cfRule>
          <xm:sqref>P4:P6</xm:sqref>
        </x14:conditionalFormatting>
        <x14:conditionalFormatting xmlns:xm="http://schemas.microsoft.com/office/excel/2006/main">
          <x14:cfRule type="dataBar" id="{A860D2F0-44FD-C744-9944-A68CD55FC047}">
            <x14:dataBar minLength="0" maxLength="100" border="1" direction="leftToRight" negativeBarColorSameAsPositive="1" axisPosition="none">
              <x14:cfvo type="min"/>
              <x14:cfvo type="max"/>
              <x14:borderColor rgb="FF638EC6"/>
            </x14:dataBar>
          </x14:cfRule>
          <xm:sqref>AA4:AA18</xm:sqref>
        </x14:conditionalFormatting>
        <x14:conditionalFormatting xmlns:xm="http://schemas.microsoft.com/office/excel/2006/main">
          <x14:cfRule type="dataBar" id="{BF1BA127-17EB-0147-9F4C-707EAB04D524}">
            <x14:dataBar minLength="0" maxLength="100" border="1" direction="leftToRight" negativeBarColorSameAsPositive="1" axisPosition="none">
              <x14:cfvo type="min"/>
              <x14:cfvo type="max"/>
              <x14:borderColor rgb="FF63C384"/>
            </x14:dataBar>
          </x14:cfRule>
          <xm:sqref>AD4:AD18</xm:sqref>
        </x14:conditionalFormatting>
        <x14:conditionalFormatting xmlns:xm="http://schemas.microsoft.com/office/excel/2006/main">
          <x14:cfRule type="dataBar" id="{4A7A77AB-816C-7843-B0EC-7A6B20E724B9}">
            <x14:dataBar minLength="0" maxLength="100" border="1" direction="leftToRight" negativeBarColorSameAsPositive="1" axisPosition="none">
              <x14:cfvo type="min"/>
              <x14:cfvo type="max"/>
              <x14:borderColor rgb="FFD6007B"/>
            </x14:dataBar>
          </x14:cfRule>
          <xm:sqref>AM9:AM14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36EA7-C02D-7B40-8DB1-3906C6BA0692}">
  <dimension ref="A1:BC11"/>
  <sheetViews>
    <sheetView tabSelected="1" zoomScale="115" workbookViewId="0">
      <pane ySplit="5" topLeftCell="A6" activePane="bottomLeft" state="frozen"/>
      <selection pane="bottomLeft" activeCell="K24" sqref="K24"/>
    </sheetView>
  </sheetViews>
  <sheetFormatPr baseColWidth="10" defaultRowHeight="16" x14ac:dyDescent="0.2"/>
  <cols>
    <col min="1" max="1" width="13.83203125" bestFit="1" customWidth="1"/>
    <col min="2" max="2" width="17.83203125" bestFit="1" customWidth="1"/>
    <col min="3" max="3" width="15.83203125" bestFit="1" customWidth="1"/>
    <col min="4" max="4" width="11" bestFit="1" customWidth="1"/>
    <col min="5" max="5" width="14.6640625" bestFit="1" customWidth="1"/>
    <col min="6" max="6" width="16.33203125" bestFit="1" customWidth="1"/>
    <col min="7" max="7" width="9.33203125" bestFit="1" customWidth="1"/>
    <col min="8" max="8" width="13" bestFit="1" customWidth="1"/>
    <col min="9" max="9" width="10.33203125" bestFit="1" customWidth="1"/>
    <col min="10" max="10" width="20.1640625" bestFit="1" customWidth="1"/>
    <col min="11" max="11" width="18" bestFit="1" customWidth="1"/>
    <col min="12" max="12" width="13.6640625" bestFit="1" customWidth="1"/>
    <col min="13" max="13" width="9.33203125" bestFit="1" customWidth="1"/>
    <col min="14" max="14" width="12.5" bestFit="1" customWidth="1"/>
    <col min="15" max="15" width="12.83203125" bestFit="1" customWidth="1"/>
    <col min="18" max="18" width="13.83203125" bestFit="1" customWidth="1"/>
    <col min="19" max="19" width="15.33203125" bestFit="1" customWidth="1"/>
    <col min="20" max="20" width="17.83203125" bestFit="1" customWidth="1"/>
    <col min="21" max="21" width="19.1640625" bestFit="1" customWidth="1"/>
    <col min="22" max="22" width="11" bestFit="1" customWidth="1"/>
    <col min="23" max="23" width="9.33203125" bestFit="1" customWidth="1"/>
    <col min="24" max="24" width="10.33203125" bestFit="1" customWidth="1"/>
    <col min="25" max="25" width="16" bestFit="1" customWidth="1"/>
    <col min="26" max="26" width="11" style="48" customWidth="1"/>
    <col min="28" max="28" width="17.5" bestFit="1" customWidth="1"/>
    <col min="29" max="29" width="17.83203125" bestFit="1" customWidth="1"/>
    <col min="30" max="30" width="15.83203125" bestFit="1" customWidth="1"/>
    <col min="31" max="31" width="11" bestFit="1" customWidth="1"/>
    <col min="32" max="32" width="14.6640625" bestFit="1" customWidth="1"/>
    <col min="33" max="33" width="16.33203125" bestFit="1" customWidth="1"/>
    <col min="34" max="34" width="9.33203125" bestFit="1" customWidth="1"/>
    <col min="35" max="35" width="10.33203125" bestFit="1" customWidth="1"/>
    <col min="36" max="36" width="18" bestFit="1" customWidth="1"/>
    <col min="37" max="37" width="13.6640625" bestFit="1" customWidth="1"/>
    <col min="38" max="38" width="9.33203125" bestFit="1" customWidth="1"/>
    <col min="39" max="39" width="12.5" bestFit="1" customWidth="1"/>
    <col min="40" max="40" width="13.6640625" bestFit="1" customWidth="1"/>
    <col min="41" max="41" width="12.83203125" bestFit="1" customWidth="1"/>
    <col min="42" max="42" width="15" bestFit="1" customWidth="1"/>
    <col min="45" max="45" width="15.33203125" bestFit="1" customWidth="1"/>
    <col min="46" max="46" width="12.33203125" bestFit="1" customWidth="1"/>
    <col min="47" max="47" width="18.1640625" bestFit="1" customWidth="1"/>
    <col min="48" max="48" width="16" bestFit="1" customWidth="1"/>
    <col min="49" max="49" width="14.83203125" bestFit="1" customWidth="1"/>
    <col min="50" max="50" width="12" bestFit="1" customWidth="1"/>
    <col min="51" max="51" width="15.1640625" bestFit="1" customWidth="1"/>
    <col min="53" max="53" width="17.5" bestFit="1" customWidth="1"/>
    <col min="54" max="54" width="11" bestFit="1" customWidth="1"/>
    <col min="55" max="55" width="18" bestFit="1" customWidth="1"/>
  </cols>
  <sheetData>
    <row r="1" spans="1:55" ht="19" x14ac:dyDescent="0.25">
      <c r="A1" s="2" t="s">
        <v>211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AB1" s="2" t="s">
        <v>212</v>
      </c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3" spans="1:55" x14ac:dyDescent="0.2">
      <c r="F3" s="3" t="s">
        <v>129</v>
      </c>
      <c r="T3" s="3" t="s">
        <v>130</v>
      </c>
      <c r="AF3" s="3" t="s">
        <v>129</v>
      </c>
      <c r="AW3" s="3" t="s">
        <v>130</v>
      </c>
    </row>
    <row r="5" spans="1:55" ht="19" x14ac:dyDescent="0.25">
      <c r="A5" s="18" t="s">
        <v>193</v>
      </c>
      <c r="B5" s="19" t="s">
        <v>43</v>
      </c>
      <c r="C5" s="19" t="s">
        <v>194</v>
      </c>
      <c r="D5" s="19" t="s">
        <v>58</v>
      </c>
      <c r="E5" s="19" t="s">
        <v>195</v>
      </c>
      <c r="F5" s="19" t="s">
        <v>101</v>
      </c>
      <c r="G5" s="19" t="s">
        <v>95</v>
      </c>
      <c r="H5" s="19" t="s">
        <v>196</v>
      </c>
      <c r="I5" s="19" t="s">
        <v>57</v>
      </c>
      <c r="J5" s="19" t="s">
        <v>197</v>
      </c>
      <c r="K5" s="19" t="s">
        <v>55</v>
      </c>
      <c r="L5" s="19" t="s">
        <v>46</v>
      </c>
      <c r="M5" s="19" t="s">
        <v>52</v>
      </c>
      <c r="N5" s="19" t="s">
        <v>54</v>
      </c>
      <c r="O5" s="20" t="s">
        <v>98</v>
      </c>
      <c r="R5" s="18" t="s">
        <v>193</v>
      </c>
      <c r="S5" s="19" t="s">
        <v>39</v>
      </c>
      <c r="T5" s="19" t="s">
        <v>198</v>
      </c>
      <c r="U5" s="19" t="s">
        <v>199</v>
      </c>
      <c r="V5" s="19" t="s">
        <v>58</v>
      </c>
      <c r="W5" s="19" t="s">
        <v>95</v>
      </c>
      <c r="X5" s="19" t="s">
        <v>57</v>
      </c>
      <c r="Y5" s="20" t="s">
        <v>239</v>
      </c>
      <c r="Z5" s="95"/>
      <c r="AB5" s="18" t="s">
        <v>200</v>
      </c>
      <c r="AC5" s="19" t="s">
        <v>43</v>
      </c>
      <c r="AD5" s="19" t="s">
        <v>194</v>
      </c>
      <c r="AE5" s="19" t="s">
        <v>58</v>
      </c>
      <c r="AF5" s="19" t="s">
        <v>195</v>
      </c>
      <c r="AG5" s="19" t="s">
        <v>101</v>
      </c>
      <c r="AH5" s="19" t="s">
        <v>95</v>
      </c>
      <c r="AI5" s="19" t="s">
        <v>57</v>
      </c>
      <c r="AJ5" s="19" t="s">
        <v>55</v>
      </c>
      <c r="AK5" s="19" t="s">
        <v>46</v>
      </c>
      <c r="AL5" s="19" t="s">
        <v>52</v>
      </c>
      <c r="AM5" s="19" t="s">
        <v>54</v>
      </c>
      <c r="AN5" s="19" t="s">
        <v>201</v>
      </c>
      <c r="AO5" s="19" t="s">
        <v>98</v>
      </c>
      <c r="AP5" s="20" t="s">
        <v>202</v>
      </c>
      <c r="AS5" s="18" t="s">
        <v>39</v>
      </c>
      <c r="AT5" s="19" t="s">
        <v>203</v>
      </c>
      <c r="AU5" s="19" t="s">
        <v>204</v>
      </c>
      <c r="AV5" s="19" t="s">
        <v>205</v>
      </c>
      <c r="AW5" s="19" t="s">
        <v>206</v>
      </c>
      <c r="AX5" s="19" t="s">
        <v>207</v>
      </c>
      <c r="AY5" s="20" t="s">
        <v>208</v>
      </c>
      <c r="BA5" s="90" t="s">
        <v>200</v>
      </c>
      <c r="BB5" s="90" t="s">
        <v>58</v>
      </c>
      <c r="BC5" s="90" t="s">
        <v>55</v>
      </c>
    </row>
    <row r="6" spans="1:55" x14ac:dyDescent="0.2">
      <c r="A6" s="7" t="s">
        <v>168</v>
      </c>
      <c r="B6" s="36">
        <v>6359</v>
      </c>
      <c r="C6" s="34">
        <v>52.8</v>
      </c>
      <c r="D6" s="8">
        <v>3.66</v>
      </c>
      <c r="E6" s="8">
        <v>3.7</v>
      </c>
      <c r="F6" s="8">
        <v>0.02</v>
      </c>
      <c r="G6" s="8">
        <v>475</v>
      </c>
      <c r="H6" s="8">
        <v>400</v>
      </c>
      <c r="I6" s="36">
        <v>222</v>
      </c>
      <c r="J6" s="34">
        <v>7.6</v>
      </c>
      <c r="K6" s="34">
        <v>71.2</v>
      </c>
      <c r="L6" s="34">
        <v>13.9</v>
      </c>
      <c r="M6" s="34">
        <v>5.3</v>
      </c>
      <c r="N6" s="34">
        <v>11.6</v>
      </c>
      <c r="O6" s="9">
        <v>0.76900000000000002</v>
      </c>
      <c r="R6" s="7" t="s">
        <v>168</v>
      </c>
      <c r="S6" s="8" t="s">
        <v>27</v>
      </c>
      <c r="T6" s="36">
        <v>3482</v>
      </c>
      <c r="U6" s="34">
        <v>54.8</v>
      </c>
      <c r="V6" s="8">
        <v>3.59</v>
      </c>
      <c r="W6" s="51" t="s">
        <v>245</v>
      </c>
      <c r="X6" s="36">
        <v>85</v>
      </c>
      <c r="Y6" s="80">
        <f>V6-V9</f>
        <v>9.9999999999999645E-2</v>
      </c>
      <c r="Z6" s="94"/>
      <c r="AB6" s="7" t="s">
        <v>240</v>
      </c>
      <c r="AC6" s="36">
        <v>486</v>
      </c>
      <c r="AD6" s="34">
        <v>4</v>
      </c>
      <c r="AE6" s="8">
        <v>4.09</v>
      </c>
      <c r="AF6" s="49">
        <v>4.0999999999999996</v>
      </c>
      <c r="AG6" s="8">
        <v>0.46</v>
      </c>
      <c r="AH6" s="51">
        <v>1038</v>
      </c>
      <c r="AI6" s="36">
        <v>1026</v>
      </c>
      <c r="AJ6" s="34">
        <v>96.9</v>
      </c>
      <c r="AK6" s="34">
        <v>58.2</v>
      </c>
      <c r="AL6" s="34">
        <v>0.4</v>
      </c>
      <c r="AM6" s="34">
        <v>1.9</v>
      </c>
      <c r="AN6" s="34">
        <v>60.7</v>
      </c>
      <c r="AO6" s="8">
        <v>0.39400000000000002</v>
      </c>
      <c r="AP6" s="9" t="s">
        <v>170</v>
      </c>
      <c r="AS6" s="7" t="s">
        <v>27</v>
      </c>
      <c r="AT6" s="36">
        <v>7114</v>
      </c>
      <c r="AU6" s="34">
        <v>0.1</v>
      </c>
      <c r="AV6" s="34">
        <v>48.8</v>
      </c>
      <c r="AW6" s="34">
        <v>0</v>
      </c>
      <c r="AX6" s="34">
        <v>51</v>
      </c>
      <c r="AY6" s="9">
        <v>3.55</v>
      </c>
      <c r="BA6" s="91" t="str">
        <f>AB6</f>
        <v>Both Services</v>
      </c>
      <c r="BB6" s="92">
        <f>AE6</f>
        <v>4.09</v>
      </c>
      <c r="BC6" s="93">
        <f>AJ6</f>
        <v>96.9</v>
      </c>
    </row>
    <row r="7" spans="1:55" x14ac:dyDescent="0.2">
      <c r="A7" s="10" t="s">
        <v>169</v>
      </c>
      <c r="B7" s="37">
        <v>5678</v>
      </c>
      <c r="C7" s="35">
        <v>47.2</v>
      </c>
      <c r="D7" s="11">
        <v>3.59</v>
      </c>
      <c r="E7" s="11">
        <v>3.6</v>
      </c>
      <c r="F7" s="11">
        <v>-0.04</v>
      </c>
      <c r="G7" s="11">
        <v>507</v>
      </c>
      <c r="H7" s="11">
        <v>350</v>
      </c>
      <c r="I7" s="37">
        <v>150</v>
      </c>
      <c r="J7" s="35">
        <v>8</v>
      </c>
      <c r="K7" s="35">
        <v>60.2</v>
      </c>
      <c r="L7" s="35">
        <v>10.3</v>
      </c>
      <c r="M7" s="35">
        <v>4.2</v>
      </c>
      <c r="N7" s="35">
        <v>37.799999999999997</v>
      </c>
      <c r="O7" s="12">
        <v>0.70899999999999996</v>
      </c>
      <c r="R7" s="7" t="s">
        <v>168</v>
      </c>
      <c r="S7" s="8" t="s">
        <v>28</v>
      </c>
      <c r="T7" s="36">
        <v>2409</v>
      </c>
      <c r="U7" s="34">
        <v>37.9</v>
      </c>
      <c r="V7" s="8">
        <v>3.67</v>
      </c>
      <c r="W7" s="51">
        <v>595</v>
      </c>
      <c r="X7" s="36">
        <v>275</v>
      </c>
      <c r="Y7" s="80">
        <f>V7-V10</f>
        <v>0.16000000000000014</v>
      </c>
      <c r="Z7" s="94"/>
      <c r="AB7" s="7" t="s">
        <v>241</v>
      </c>
      <c r="AC7" s="36">
        <v>5873</v>
      </c>
      <c r="AD7" s="34">
        <v>48.8</v>
      </c>
      <c r="AE7" s="8">
        <v>3.62</v>
      </c>
      <c r="AF7" s="49">
        <v>3.7</v>
      </c>
      <c r="AG7" s="8">
        <v>-0.01</v>
      </c>
      <c r="AH7" s="51">
        <v>429</v>
      </c>
      <c r="AI7" s="36">
        <v>156</v>
      </c>
      <c r="AJ7" s="34">
        <v>68.8</v>
      </c>
      <c r="AK7" s="34">
        <v>10.3</v>
      </c>
      <c r="AL7" s="34">
        <v>5.7</v>
      </c>
      <c r="AM7" s="34">
        <v>12.4</v>
      </c>
      <c r="AN7" s="34">
        <v>2.9</v>
      </c>
      <c r="AO7" s="8">
        <v>0.84399999999999997</v>
      </c>
      <c r="AP7" s="9" t="s">
        <v>171</v>
      </c>
      <c r="AS7" s="7" t="s">
        <v>28</v>
      </c>
      <c r="AT7" s="36">
        <v>3708</v>
      </c>
      <c r="AU7" s="34">
        <v>4.9000000000000004</v>
      </c>
      <c r="AV7" s="34">
        <v>60.1</v>
      </c>
      <c r="AW7" s="34">
        <v>1.6</v>
      </c>
      <c r="AX7" s="34">
        <v>33.4</v>
      </c>
      <c r="AY7" s="9">
        <v>3.62</v>
      </c>
      <c r="BA7" s="91" t="str">
        <f>AB7</f>
        <v>Online Only</v>
      </c>
      <c r="BB7" s="92">
        <f>AE7</f>
        <v>3.62</v>
      </c>
      <c r="BC7" s="93">
        <f>AJ7</f>
        <v>68.8</v>
      </c>
    </row>
    <row r="8" spans="1:55" x14ac:dyDescent="0.2">
      <c r="B8" s="89"/>
      <c r="C8" s="88"/>
      <c r="I8" s="89"/>
      <c r="J8" s="88"/>
      <c r="K8" s="88"/>
      <c r="L8" s="88"/>
      <c r="M8" s="88"/>
      <c r="N8" s="88"/>
      <c r="R8" s="7" t="s">
        <v>168</v>
      </c>
      <c r="S8" s="8" t="s">
        <v>4</v>
      </c>
      <c r="T8" s="36">
        <v>468</v>
      </c>
      <c r="U8" s="34">
        <v>7.4</v>
      </c>
      <c r="V8" s="8">
        <v>4.03</v>
      </c>
      <c r="W8" s="51">
        <v>1206</v>
      </c>
      <c r="X8" s="36">
        <v>970</v>
      </c>
      <c r="Y8" s="80">
        <f>V8-V11</f>
        <v>6.0000000000000053E-2</v>
      </c>
      <c r="Z8" s="94"/>
      <c r="AB8" s="7" t="s">
        <v>242</v>
      </c>
      <c r="AC8" s="36">
        <v>453</v>
      </c>
      <c r="AD8" s="34">
        <v>3.8</v>
      </c>
      <c r="AE8" s="8">
        <v>4.1500000000000004</v>
      </c>
      <c r="AF8" s="49">
        <v>4.2</v>
      </c>
      <c r="AG8" s="8">
        <v>0.52</v>
      </c>
      <c r="AH8" s="51">
        <v>1590</v>
      </c>
      <c r="AI8" s="36">
        <v>997</v>
      </c>
      <c r="AJ8" s="34">
        <v>97.9</v>
      </c>
      <c r="AK8" s="34">
        <v>64.7</v>
      </c>
      <c r="AL8" s="34">
        <v>1.3</v>
      </c>
      <c r="AM8" s="34">
        <v>3.3</v>
      </c>
      <c r="AN8" s="34">
        <v>86.3</v>
      </c>
      <c r="AO8" s="8">
        <v>0.26100000000000001</v>
      </c>
      <c r="AP8" s="9" t="s">
        <v>170</v>
      </c>
      <c r="AS8" s="10" t="s">
        <v>4</v>
      </c>
      <c r="AT8" s="37">
        <v>1215</v>
      </c>
      <c r="AU8" s="35">
        <v>24.3</v>
      </c>
      <c r="AV8" s="35">
        <v>14.2</v>
      </c>
      <c r="AW8" s="35">
        <v>32.200000000000003</v>
      </c>
      <c r="AX8" s="35">
        <v>29.3</v>
      </c>
      <c r="AY8" s="12">
        <v>3.99</v>
      </c>
      <c r="BA8" s="91" t="str">
        <f>AB8</f>
        <v>Table Only</v>
      </c>
      <c r="BB8" s="92">
        <f>AE8</f>
        <v>4.1500000000000004</v>
      </c>
      <c r="BC8" s="93">
        <f>AJ8</f>
        <v>97.9</v>
      </c>
    </row>
    <row r="9" spans="1:55" x14ac:dyDescent="0.2">
      <c r="B9" s="89"/>
      <c r="C9" s="88"/>
      <c r="I9" s="89"/>
      <c r="J9" s="88"/>
      <c r="K9" s="88"/>
      <c r="L9" s="88"/>
      <c r="M9" s="88"/>
      <c r="N9" s="88"/>
      <c r="R9" s="7" t="s">
        <v>169</v>
      </c>
      <c r="S9" s="8" t="s">
        <v>27</v>
      </c>
      <c r="T9" s="36">
        <v>3632</v>
      </c>
      <c r="U9" s="34">
        <v>64</v>
      </c>
      <c r="V9" s="8">
        <v>3.49</v>
      </c>
      <c r="W9" s="51">
        <v>267</v>
      </c>
      <c r="X9" s="36">
        <v>32</v>
      </c>
      <c r="Y9" s="21"/>
      <c r="AB9" s="7" t="s">
        <v>243</v>
      </c>
      <c r="AC9" s="36">
        <v>5225</v>
      </c>
      <c r="AD9" s="34">
        <v>43.4</v>
      </c>
      <c r="AE9" s="8">
        <v>3.52</v>
      </c>
      <c r="AF9" s="49">
        <v>3.5</v>
      </c>
      <c r="AG9" s="8">
        <v>-0.11</v>
      </c>
      <c r="AH9" s="51">
        <v>413</v>
      </c>
      <c r="AI9" s="36">
        <v>77</v>
      </c>
      <c r="AJ9" s="34">
        <v>54.9</v>
      </c>
      <c r="AK9" s="34">
        <v>5.6</v>
      </c>
      <c r="AL9" s="34">
        <v>4.5</v>
      </c>
      <c r="AM9" s="34">
        <v>40.700000000000003</v>
      </c>
      <c r="AN9" s="34">
        <v>6.8</v>
      </c>
      <c r="AO9" s="8">
        <v>0.85099999999999998</v>
      </c>
      <c r="AP9" s="9" t="s">
        <v>172</v>
      </c>
      <c r="AT9" s="89"/>
      <c r="AU9" s="88"/>
      <c r="AV9" s="88"/>
      <c r="AW9" s="88"/>
      <c r="AX9" s="88"/>
      <c r="BA9" s="91" t="str">
        <f>AB9</f>
        <v>Neither</v>
      </c>
      <c r="BB9" s="92">
        <f>AE9</f>
        <v>3.52</v>
      </c>
      <c r="BC9" s="93">
        <f>AJ9</f>
        <v>54.9</v>
      </c>
    </row>
    <row r="10" spans="1:55" x14ac:dyDescent="0.2">
      <c r="B10" s="89"/>
      <c r="C10" s="88"/>
      <c r="I10" s="89"/>
      <c r="J10" s="88"/>
      <c r="K10" s="88"/>
      <c r="L10" s="88"/>
      <c r="M10" s="88"/>
      <c r="N10" s="88"/>
      <c r="R10" s="7" t="s">
        <v>169</v>
      </c>
      <c r="S10" s="8" t="s">
        <v>28</v>
      </c>
      <c r="T10" s="36">
        <v>1299</v>
      </c>
      <c r="U10" s="34">
        <v>22.9</v>
      </c>
      <c r="V10" s="8">
        <v>3.51</v>
      </c>
      <c r="W10" s="51">
        <v>591</v>
      </c>
      <c r="X10" s="36">
        <v>127</v>
      </c>
      <c r="Y10" s="21"/>
      <c r="AB10" s="10" t="s">
        <v>244</v>
      </c>
      <c r="AC10" s="37">
        <v>12037</v>
      </c>
      <c r="AD10" s="35">
        <v>100</v>
      </c>
      <c r="AE10" s="11">
        <v>3.63</v>
      </c>
      <c r="AF10" s="50">
        <v>3.7</v>
      </c>
      <c r="AG10" s="11">
        <v>0</v>
      </c>
      <c r="AH10" s="52">
        <v>490</v>
      </c>
      <c r="AI10" s="37">
        <v>188</v>
      </c>
      <c r="AJ10" s="35">
        <v>67</v>
      </c>
      <c r="AK10" s="35">
        <v>12.2</v>
      </c>
      <c r="AL10" s="35">
        <v>4.8</v>
      </c>
      <c r="AM10" s="35">
        <v>23.9</v>
      </c>
      <c r="AN10" s="35">
        <v>10.1</v>
      </c>
      <c r="AO10" s="11">
        <v>0.74099999999999999</v>
      </c>
      <c r="AP10" s="12" t="s">
        <v>173</v>
      </c>
      <c r="AT10" s="89"/>
      <c r="AU10" s="88"/>
      <c r="AV10" s="88"/>
      <c r="AW10" s="88"/>
      <c r="AX10" s="88"/>
      <c r="BA10" s="91" t="str">
        <f>AB10</f>
        <v>Platform Average</v>
      </c>
      <c r="BB10" s="92">
        <f>AE10</f>
        <v>3.63</v>
      </c>
      <c r="BC10" s="93">
        <f>AJ10</f>
        <v>67</v>
      </c>
    </row>
    <row r="11" spans="1:55" x14ac:dyDescent="0.2">
      <c r="B11" s="89"/>
      <c r="C11" s="88"/>
      <c r="I11" s="89"/>
      <c r="J11" s="88"/>
      <c r="K11" s="88"/>
      <c r="L11" s="88"/>
      <c r="M11" s="88"/>
      <c r="N11" s="88"/>
      <c r="R11" s="10" t="s">
        <v>169</v>
      </c>
      <c r="S11" s="11" t="s">
        <v>4</v>
      </c>
      <c r="T11" s="37">
        <v>747</v>
      </c>
      <c r="U11" s="35">
        <v>13.2</v>
      </c>
      <c r="V11" s="11">
        <v>3.97</v>
      </c>
      <c r="W11" s="52">
        <v>1524</v>
      </c>
      <c r="X11" s="37">
        <v>769</v>
      </c>
      <c r="Y11" s="22"/>
      <c r="AC11" s="89"/>
      <c r="AD11" s="88"/>
      <c r="AI11" s="89"/>
      <c r="AJ11" s="88"/>
      <c r="AK11" s="88"/>
      <c r="AL11" s="88"/>
      <c r="AM11" s="88"/>
      <c r="AN11" s="88"/>
      <c r="AT11" s="89"/>
      <c r="AU11" s="88"/>
      <c r="AV11" s="88"/>
      <c r="AW11" s="88"/>
      <c r="AX11" s="88"/>
    </row>
  </sheetData>
  <mergeCells count="2">
    <mergeCell ref="A1:O1"/>
    <mergeCell ref="AB1:AP1"/>
  </mergeCells>
  <conditionalFormatting sqref="D6:D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{D631C8DC-270A-B24D-AA6B-7C14709F4936}</x14:id>
        </ext>
      </extLst>
    </cfRule>
  </conditionalFormatting>
  <conditionalFormatting sqref="E6:E7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{667E43DA-54E1-D04C-B5B9-53778B64BFA7}</x14:id>
        </ext>
      </extLst>
    </cfRule>
  </conditionalFormatting>
  <conditionalFormatting sqref="K6:K7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6:N7">
    <cfRule type="colorScale" priority="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O6:O7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{75D21353-7611-204D-9037-DD12F1D9824D}</x14:id>
        </ext>
      </extLst>
    </cfRule>
  </conditionalFormatting>
  <conditionalFormatting sqref="V6:V11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{E036E25C-6044-C344-86C7-52EA4A9B023C}</x14:id>
        </ext>
      </extLst>
    </cfRule>
  </conditionalFormatting>
  <conditionalFormatting sqref="Y6:Z8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{B5BA30A4-4FDB-DD41-903E-DC6798E5E97A}</x14:id>
        </ext>
      </extLst>
    </cfRule>
  </conditionalFormatting>
  <conditionalFormatting sqref="AE6:AE10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{5C6735B4-3184-1A48-B1BC-55C3402A2DF0}</x14:id>
        </ext>
      </extLst>
    </cfRule>
  </conditionalFormatting>
  <conditionalFormatting sqref="AJ6:AJ10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N6:AN10"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P6:AP10">
    <cfRule type="containsText" dxfId="4" priority="11" operator="containsText" text="Benchmark">
      <formula>NOT(ISERROR(SEARCH("Benchmark",AP6)))</formula>
    </cfRule>
  </conditionalFormatting>
  <conditionalFormatting sqref="AP6:AP10">
    <cfRule type="containsText" dxfId="3" priority="12" operator="containsText" text="No signal">
      <formula>NOT(ISERROR(SEARCH("No signal",AP6)))</formula>
    </cfRule>
  </conditionalFormatting>
  <conditionalFormatting sqref="AP6:AP10">
    <cfRule type="containsText" dxfId="2" priority="13" operator="containsText" text="Weak signal">
      <formula>NOT(ISERROR(SEARCH("Weak signal",AP6)))</formula>
    </cfRule>
  </conditionalFormatting>
  <conditionalFormatting sqref="AP6:AP10">
    <cfRule type="containsText" dxfId="1" priority="14" operator="containsText" text="Moderate signal">
      <formula>NOT(ISERROR(SEARCH("Moderate signal",AP6)))</formula>
    </cfRule>
  </conditionalFormatting>
  <conditionalFormatting sqref="AP6:AP10">
    <cfRule type="containsText" dxfId="0" priority="15" operator="containsText" text="Strong signal">
      <formula>NOT(ISERROR(SEARCH("Strong signal",AP6)))</formula>
    </cfRule>
  </conditionalFormatting>
  <conditionalFormatting sqref="AU6:AU8">
    <cfRule type="dataBar" priority="1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{8DC27F5F-3DDB-714A-B95D-409F12446D77}</x14:id>
        </ext>
      </extLst>
    </cfRule>
  </conditionalFormatting>
  <conditionalFormatting sqref="AW6:AW8">
    <cfRule type="dataBar" priority="1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{917B379D-FDF2-1A4C-B007-BBC323BAFEDB}</x14:id>
        </ext>
      </extLst>
    </cfRule>
  </conditionalFormatting>
  <conditionalFormatting sqref="AX6:AX8">
    <cfRule type="colorScale" priority="1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B6:BB10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{35FF8C1F-0E50-8B4C-91DE-998E3575615E}</x14:id>
        </ext>
      </extLst>
    </cfRule>
  </conditionalFormatting>
  <conditionalFormatting sqref="BC6:BC10">
    <cfRule type="colorScale" priority="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631C8DC-270A-B24D-AA6B-7C14709F4936}">
            <x14:dataBar minLength="0" maxLength="100" border="1" direction="leftToRight" negativeBarColorSameAsPositive="1" axisPosition="none">
              <x14:cfvo type="min"/>
              <x14:cfvo type="max"/>
              <x14:borderColor rgb="FF638EC6"/>
            </x14:dataBar>
          </x14:cfRule>
          <xm:sqref>D6:D7</xm:sqref>
        </x14:conditionalFormatting>
        <x14:conditionalFormatting xmlns:xm="http://schemas.microsoft.com/office/excel/2006/main">
          <x14:cfRule type="dataBar" id="{667E43DA-54E1-D04C-B5B9-53778B64BFA7}">
            <x14:dataBar minLength="0" maxLength="100" border="1" direction="leftToRight" negativeBarColorSameAsPositive="1" axisPosition="none">
              <x14:cfvo type="min"/>
              <x14:cfvo type="max"/>
              <x14:borderColor rgb="FF638EC6"/>
            </x14:dataBar>
          </x14:cfRule>
          <xm:sqref>E6:E7</xm:sqref>
        </x14:conditionalFormatting>
        <x14:conditionalFormatting xmlns:xm="http://schemas.microsoft.com/office/excel/2006/main">
          <x14:cfRule type="dataBar" id="{75D21353-7611-204D-9037-DD12F1D9824D}">
            <x14:dataBar minLength="0" maxLength="100" border="1" direction="leftToRight" negativeBarColorSameAsPositive="1" axisPosition="none">
              <x14:cfvo type="min"/>
              <x14:cfvo type="max"/>
              <x14:borderColor rgb="FF63C384"/>
            </x14:dataBar>
          </x14:cfRule>
          <xm:sqref>O6:O7</xm:sqref>
        </x14:conditionalFormatting>
        <x14:conditionalFormatting xmlns:xm="http://schemas.microsoft.com/office/excel/2006/main">
          <x14:cfRule type="dataBar" id="{E036E25C-6044-C344-86C7-52EA4A9B023C}">
            <x14:dataBar minLength="0" maxLength="100" border="1" direction="leftToRight" negativeBarColorSameAsPositive="1" axisPosition="none">
              <x14:cfvo type="min"/>
              <x14:cfvo type="max"/>
              <x14:borderColor rgb="FF638EC6"/>
            </x14:dataBar>
          </x14:cfRule>
          <xm:sqref>V6:V11</xm:sqref>
        </x14:conditionalFormatting>
        <x14:conditionalFormatting xmlns:xm="http://schemas.microsoft.com/office/excel/2006/main">
          <x14:cfRule type="dataBar" id="{B5BA30A4-4FDB-DD41-903E-DC6798E5E97A}">
            <x14:dataBar minLength="0" maxLength="100" border="1" direction="leftToRight" negativeBarColorSameAsPositive="1" axisPosition="none">
              <x14:cfvo type="min"/>
              <x14:cfvo type="max"/>
              <x14:borderColor rgb="FF63C384"/>
            </x14:dataBar>
          </x14:cfRule>
          <xm:sqref>Y6:Z8</xm:sqref>
        </x14:conditionalFormatting>
        <x14:conditionalFormatting xmlns:xm="http://schemas.microsoft.com/office/excel/2006/main">
          <x14:cfRule type="dataBar" id="{5C6735B4-3184-1A48-B1BC-55C3402A2DF0}">
            <x14:dataBar minLength="0" maxLength="100" border="1" direction="leftToRight" negativeBarColorSameAsPositive="1" axisPosition="none">
              <x14:cfvo type="min"/>
              <x14:cfvo type="max"/>
              <x14:borderColor rgb="FF638EC6"/>
            </x14:dataBar>
          </x14:cfRule>
          <xm:sqref>AE6:AE10</xm:sqref>
        </x14:conditionalFormatting>
        <x14:conditionalFormatting xmlns:xm="http://schemas.microsoft.com/office/excel/2006/main">
          <x14:cfRule type="dataBar" id="{8DC27F5F-3DDB-714A-B95D-409F12446D77}">
            <x14:dataBar minLength="0" maxLength="100" border="1" direction="leftToRight" negativeBarColorSameAsPositive="1" axisPosition="none">
              <x14:cfvo type="min"/>
              <x14:cfvo type="max"/>
              <x14:borderColor rgb="FFD6007B"/>
            </x14:dataBar>
          </x14:cfRule>
          <xm:sqref>AU6:AU8</xm:sqref>
        </x14:conditionalFormatting>
        <x14:conditionalFormatting xmlns:xm="http://schemas.microsoft.com/office/excel/2006/main">
          <x14:cfRule type="dataBar" id="{917B379D-FDF2-1A4C-B007-BBC323BAFEDB}">
            <x14:dataBar minLength="0" maxLength="100" border="1" direction="leftToRight" negativeBarColorSameAsPositive="1" axisPosition="none">
              <x14:cfvo type="min"/>
              <x14:cfvo type="max"/>
              <x14:borderColor rgb="FFD6007B"/>
            </x14:dataBar>
          </x14:cfRule>
          <xm:sqref>AW6:AW8</xm:sqref>
        </x14:conditionalFormatting>
        <x14:conditionalFormatting xmlns:xm="http://schemas.microsoft.com/office/excel/2006/main">
          <x14:cfRule type="dataBar" id="{35FF8C1F-0E50-8B4C-91DE-998E3575615E}">
            <x14:dataBar minLength="0" maxLength="100" border="1" direction="leftToRight" negativeBarColorSameAsPositive="1" axisPosition="none">
              <x14:cfvo type="min"/>
              <x14:cfvo type="max"/>
              <x14:borderColor rgb="FF638EC6"/>
            </x14:dataBar>
          </x14:cfRule>
          <xm:sqref>BB6:BB10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17</vt:i4>
      </vt:variant>
    </vt:vector>
  </HeadingPairs>
  <TitlesOfParts>
    <vt:vector size="23" baseType="lpstr">
      <vt:lpstr>KPI_summary</vt:lpstr>
      <vt:lpstr>Rating_analysis</vt:lpstr>
      <vt:lpstr>Location_analysis</vt:lpstr>
      <vt:lpstr>Cuisine_analysis</vt:lpstr>
      <vt:lpstr>Pricing_value</vt:lpstr>
      <vt:lpstr>Service_adoption</vt:lpstr>
      <vt:lpstr>Rating_analysis!q1_credible_restaurants</vt:lpstr>
      <vt:lpstr>Pricing_value!q10a_hidden_gems</vt:lpstr>
      <vt:lpstr>Pricing_value!q10b_gem_rarity</vt:lpstr>
      <vt:lpstr>Service_adoption!q11a_online_vs_dinein</vt:lpstr>
      <vt:lpstr>Service_adoption!q11b_tier_composition</vt:lpstr>
      <vt:lpstr>Service_adoption!q12a_service_segments</vt:lpstr>
      <vt:lpstr>Service_adoption!q12b_service_by_tier</vt:lpstr>
      <vt:lpstr>Rating_analysis!q2_rating_tier_crosstab</vt:lpstr>
      <vt:lpstr>Rating_analysis!q3_vote_buckets</vt:lpstr>
      <vt:lpstr>Location_analysis!q4_location_leaderboard</vt:lpstr>
      <vt:lpstr>Location_analysis!q5_value_locations</vt:lpstr>
      <vt:lpstr>Location_analysis!q6_digital_adoption</vt:lpstr>
      <vt:lpstr>Cuisine_analysis!q7a_dominant_cuisine_per_location</vt:lpstr>
      <vt:lpstr>Cuisine_analysis!q7b_cuisine_dominance_summary</vt:lpstr>
      <vt:lpstr>Cuisine_analysis!q8a_cuisine_popularity</vt:lpstr>
      <vt:lpstr>Cuisine_analysis!q8b_cuisine_quality</vt:lpstr>
      <vt:lpstr>Pricing_value!q9_price_tier_performance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pratham kumar</dc:creator>
  <cp:lastModifiedBy>pratham kumar</cp:lastModifiedBy>
  <dcterms:created xsi:type="dcterms:W3CDTF">2026-07-05T20:49:43Z</dcterms:created>
  <dcterms:modified xsi:type="dcterms:W3CDTF">2026-07-07T02:55:51Z</dcterms:modified>
</cp:coreProperties>
</file>